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74BBCD-7B82-4EEC-AFC6-7515A4E2D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ueil" sheetId="11" r:id="rId1"/>
    <sheet name="Paramètres" sheetId="12" r:id="rId2"/>
    <sheet name="Stocks Gibier" sheetId="13" r:id="rId3"/>
    <sheet name="Recettes" sheetId="14" r:id="rId4"/>
    <sheet name="Production" sheetId="15" r:id="rId5"/>
    <sheet name="Liste de courses" sheetId="16" r:id="rId6"/>
    <sheet name="Budget &amp; Comptes" sheetId="17" r:id="rId7"/>
  </sheets>
  <calcPr calcId="191029"/>
</workbook>
</file>

<file path=xl/calcChain.xml><?xml version="1.0" encoding="utf-8"?>
<calcChain xmlns="http://schemas.openxmlformats.org/spreadsheetml/2006/main">
  <c r="D39" i="17" l="1"/>
  <c r="D38" i="17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C20" i="17"/>
  <c r="D26" i="11" s="1"/>
  <c r="C19" i="17"/>
  <c r="D25" i="11" s="1"/>
  <c r="C18" i="17"/>
  <c r="D24" i="11" s="1"/>
  <c r="C17" i="17"/>
  <c r="C16" i="17"/>
  <c r="D22" i="11" s="1"/>
  <c r="C15" i="17"/>
  <c r="D21" i="11" s="1"/>
  <c r="C14" i="17"/>
  <c r="D20" i="11" s="1"/>
  <c r="C13" i="17"/>
  <c r="D19" i="11" s="1"/>
  <c r="C12" i="17"/>
  <c r="C11" i="17"/>
  <c r="C5" i="17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9" i="15"/>
  <c r="C27" i="11"/>
  <c r="C26" i="11"/>
  <c r="B26" i="11"/>
  <c r="C25" i="11"/>
  <c r="B25" i="11"/>
  <c r="C24" i="11"/>
  <c r="B24" i="11"/>
  <c r="D23" i="11"/>
  <c r="C23" i="11"/>
  <c r="B23" i="11"/>
  <c r="C22" i="11"/>
  <c r="B22" i="11"/>
  <c r="C21" i="11"/>
  <c r="B21" i="11"/>
  <c r="C20" i="11"/>
  <c r="B20" i="11"/>
  <c r="C19" i="11"/>
  <c r="B19" i="11"/>
  <c r="D18" i="11"/>
  <c r="C18" i="11"/>
  <c r="B18" i="11"/>
  <c r="C17" i="11"/>
  <c r="B17" i="11"/>
  <c r="I78" i="15"/>
  <c r="N57" i="15"/>
  <c r="D43" i="16" s="1"/>
  <c r="F43" i="16" s="1"/>
  <c r="N63" i="15"/>
  <c r="H11" i="11"/>
  <c r="H7" i="11"/>
  <c r="E7" i="11"/>
  <c r="B7" i="11"/>
  <c r="C6" i="17"/>
  <c r="G48" i="16"/>
  <c r="F48" i="16"/>
  <c r="D48" i="16"/>
  <c r="C48" i="16"/>
  <c r="B48" i="16"/>
  <c r="G47" i="16"/>
  <c r="F47" i="16"/>
  <c r="D47" i="16"/>
  <c r="C47" i="16"/>
  <c r="B47" i="16"/>
  <c r="G46" i="16"/>
  <c r="F46" i="16"/>
  <c r="D46" i="16"/>
  <c r="C46" i="16"/>
  <c r="B46" i="16"/>
  <c r="G45" i="16"/>
  <c r="F45" i="16"/>
  <c r="D45" i="16"/>
  <c r="C45" i="16"/>
  <c r="B45" i="16"/>
  <c r="G44" i="16"/>
  <c r="F44" i="16"/>
  <c r="D44" i="16"/>
  <c r="C44" i="16"/>
  <c r="B44" i="16"/>
  <c r="G43" i="16"/>
  <c r="C43" i="16"/>
  <c r="B43" i="16"/>
  <c r="G42" i="16"/>
  <c r="F42" i="16"/>
  <c r="D42" i="16"/>
  <c r="C42" i="16"/>
  <c r="B42" i="16"/>
  <c r="G41" i="16"/>
  <c r="F41" i="16"/>
  <c r="D41" i="16"/>
  <c r="C41" i="16"/>
  <c r="B41" i="16"/>
  <c r="G40" i="16"/>
  <c r="F40" i="16"/>
  <c r="D40" i="16"/>
  <c r="C40" i="16"/>
  <c r="B40" i="16"/>
  <c r="G39" i="16"/>
  <c r="F39" i="16"/>
  <c r="D39" i="16"/>
  <c r="C39" i="16"/>
  <c r="B39" i="16"/>
  <c r="G38" i="16"/>
  <c r="F38" i="16"/>
  <c r="D38" i="16"/>
  <c r="C38" i="16"/>
  <c r="B38" i="16"/>
  <c r="G37" i="16"/>
  <c r="F37" i="16"/>
  <c r="D37" i="16"/>
  <c r="C37" i="16"/>
  <c r="B37" i="16"/>
  <c r="G36" i="16"/>
  <c r="F36" i="16"/>
  <c r="D36" i="16"/>
  <c r="C36" i="16"/>
  <c r="B36" i="16"/>
  <c r="G35" i="16"/>
  <c r="F35" i="16"/>
  <c r="D35" i="16"/>
  <c r="C35" i="16"/>
  <c r="B35" i="16"/>
  <c r="G34" i="16"/>
  <c r="F34" i="16"/>
  <c r="D34" i="16"/>
  <c r="C34" i="16"/>
  <c r="B34" i="16"/>
  <c r="G33" i="16"/>
  <c r="F33" i="16"/>
  <c r="D33" i="16"/>
  <c r="C33" i="16"/>
  <c r="B33" i="16"/>
  <c r="G32" i="16"/>
  <c r="F32" i="16"/>
  <c r="D32" i="16"/>
  <c r="C32" i="16"/>
  <c r="B32" i="16"/>
  <c r="G31" i="16"/>
  <c r="F31" i="16"/>
  <c r="D31" i="16"/>
  <c r="C31" i="16"/>
  <c r="B31" i="16"/>
  <c r="G30" i="16"/>
  <c r="F30" i="16"/>
  <c r="D30" i="16"/>
  <c r="C30" i="16"/>
  <c r="B30" i="16"/>
  <c r="G29" i="16"/>
  <c r="F29" i="16"/>
  <c r="D29" i="16"/>
  <c r="C29" i="16"/>
  <c r="B29" i="16"/>
  <c r="G28" i="16"/>
  <c r="F28" i="16"/>
  <c r="D28" i="16"/>
  <c r="C28" i="16"/>
  <c r="B28" i="16"/>
  <c r="G27" i="16"/>
  <c r="F27" i="16"/>
  <c r="D27" i="16"/>
  <c r="C27" i="16"/>
  <c r="B27" i="16"/>
  <c r="G26" i="16"/>
  <c r="F26" i="16"/>
  <c r="D26" i="16"/>
  <c r="C26" i="16"/>
  <c r="B26" i="16"/>
  <c r="G25" i="16"/>
  <c r="F25" i="16"/>
  <c r="D25" i="16"/>
  <c r="C25" i="16"/>
  <c r="B25" i="16"/>
  <c r="G24" i="16"/>
  <c r="F24" i="16"/>
  <c r="D24" i="16"/>
  <c r="C24" i="16"/>
  <c r="B24" i="16"/>
  <c r="G23" i="16"/>
  <c r="F23" i="16"/>
  <c r="D23" i="16"/>
  <c r="C23" i="16"/>
  <c r="B23" i="16"/>
  <c r="G22" i="16"/>
  <c r="F22" i="16"/>
  <c r="D22" i="16"/>
  <c r="C22" i="16"/>
  <c r="B22" i="16"/>
  <c r="G21" i="16"/>
  <c r="F21" i="16"/>
  <c r="D21" i="16"/>
  <c r="C21" i="16"/>
  <c r="B21" i="16"/>
  <c r="G20" i="16"/>
  <c r="F20" i="16"/>
  <c r="D20" i="16"/>
  <c r="C20" i="16"/>
  <c r="B20" i="16"/>
  <c r="G19" i="16"/>
  <c r="F19" i="16"/>
  <c r="D19" i="16"/>
  <c r="C19" i="16"/>
  <c r="B19" i="16"/>
  <c r="G18" i="16"/>
  <c r="F18" i="16"/>
  <c r="D18" i="16"/>
  <c r="C18" i="16"/>
  <c r="B18" i="16"/>
  <c r="G17" i="16"/>
  <c r="F17" i="16"/>
  <c r="D17" i="16"/>
  <c r="C17" i="16"/>
  <c r="B17" i="16"/>
  <c r="G16" i="16"/>
  <c r="F16" i="16"/>
  <c r="D16" i="16"/>
  <c r="C16" i="16"/>
  <c r="B16" i="16"/>
  <c r="G15" i="16"/>
  <c r="F15" i="16"/>
  <c r="D15" i="16"/>
  <c r="C15" i="16"/>
  <c r="B15" i="16"/>
  <c r="G14" i="16"/>
  <c r="F14" i="16"/>
  <c r="D14" i="16"/>
  <c r="C14" i="16"/>
  <c r="B14" i="16"/>
  <c r="G13" i="16"/>
  <c r="F13" i="16"/>
  <c r="D13" i="16"/>
  <c r="C13" i="16"/>
  <c r="B13" i="16"/>
  <c r="G12" i="16"/>
  <c r="F12" i="16"/>
  <c r="D12" i="16"/>
  <c r="C12" i="16"/>
  <c r="B12" i="16"/>
  <c r="G11" i="16"/>
  <c r="F11" i="16"/>
  <c r="D11" i="16"/>
  <c r="C11" i="16"/>
  <c r="B11" i="16"/>
  <c r="G10" i="16"/>
  <c r="F10" i="16"/>
  <c r="D10" i="16"/>
  <c r="C10" i="16"/>
  <c r="B10" i="16"/>
  <c r="G9" i="16"/>
  <c r="F9" i="16"/>
  <c r="D9" i="16"/>
  <c r="C9" i="16"/>
  <c r="B9" i="16"/>
  <c r="G8" i="16"/>
  <c r="F8" i="16"/>
  <c r="D8" i="16"/>
  <c r="C8" i="16"/>
  <c r="B8" i="16"/>
  <c r="G7" i="16"/>
  <c r="F7" i="16"/>
  <c r="D7" i="16"/>
  <c r="C7" i="16"/>
  <c r="B7" i="16"/>
  <c r="C78" i="15"/>
  <c r="D53" i="16" s="1"/>
  <c r="E53" i="16" s="1"/>
  <c r="D78" i="15"/>
  <c r="D54" i="16" s="1"/>
  <c r="E54" i="16" s="1"/>
  <c r="E78" i="15"/>
  <c r="D55" i="16" s="1"/>
  <c r="E55" i="16" s="1"/>
  <c r="F78" i="15"/>
  <c r="D56" i="16" s="1"/>
  <c r="E56" i="16" s="1"/>
  <c r="G78" i="15"/>
  <c r="D57" i="16" s="1"/>
  <c r="E57" i="16" s="1"/>
  <c r="K77" i="15"/>
  <c r="J77" i="15"/>
  <c r="I77" i="15"/>
  <c r="H77" i="15"/>
  <c r="K76" i="15"/>
  <c r="J76" i="15"/>
  <c r="I76" i="15"/>
  <c r="H76" i="15"/>
  <c r="K75" i="15"/>
  <c r="J75" i="15"/>
  <c r="I75" i="15"/>
  <c r="H75" i="15"/>
  <c r="K74" i="15"/>
  <c r="J74" i="15"/>
  <c r="I74" i="15"/>
  <c r="H74" i="15"/>
  <c r="K73" i="15"/>
  <c r="J73" i="15"/>
  <c r="I73" i="15"/>
  <c r="H73" i="15"/>
  <c r="K72" i="15"/>
  <c r="J72" i="15"/>
  <c r="I72" i="15"/>
  <c r="H72" i="15"/>
  <c r="K71" i="15"/>
  <c r="J71" i="15"/>
  <c r="I71" i="15"/>
  <c r="H71" i="15"/>
  <c r="K70" i="15"/>
  <c r="J70" i="15"/>
  <c r="I70" i="15"/>
  <c r="H70" i="15"/>
  <c r="K69" i="15"/>
  <c r="J69" i="15"/>
  <c r="I69" i="15"/>
  <c r="H69" i="15"/>
  <c r="K68" i="15"/>
  <c r="I68" i="15"/>
  <c r="H68" i="15"/>
  <c r="J68" i="15" s="1"/>
  <c r="J78" i="15" s="1"/>
  <c r="P62" i="15"/>
  <c r="P61" i="15"/>
  <c r="P60" i="15"/>
  <c r="P59" i="15"/>
  <c r="P58" i="15"/>
  <c r="P57" i="15"/>
  <c r="P56" i="15"/>
  <c r="P55" i="15"/>
  <c r="P54" i="15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7" i="15"/>
  <c r="P26" i="15"/>
  <c r="P25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N62" i="15"/>
  <c r="N61" i="15"/>
  <c r="N60" i="15"/>
  <c r="N59" i="15"/>
  <c r="N58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M62" i="15"/>
  <c r="L62" i="15"/>
  <c r="K62" i="15"/>
  <c r="J62" i="15"/>
  <c r="I62" i="15"/>
  <c r="H62" i="15"/>
  <c r="G62" i="15"/>
  <c r="F62" i="15"/>
  <c r="E62" i="15"/>
  <c r="D62" i="15"/>
  <c r="M61" i="15"/>
  <c r="L61" i="15"/>
  <c r="K61" i="15"/>
  <c r="J61" i="15"/>
  <c r="I61" i="15"/>
  <c r="H61" i="15"/>
  <c r="G61" i="15"/>
  <c r="F61" i="15"/>
  <c r="E61" i="15"/>
  <c r="D61" i="15"/>
  <c r="M60" i="15"/>
  <c r="L60" i="15"/>
  <c r="K60" i="15"/>
  <c r="J60" i="15"/>
  <c r="I60" i="15"/>
  <c r="H60" i="15"/>
  <c r="G60" i="15"/>
  <c r="F60" i="15"/>
  <c r="E60" i="15"/>
  <c r="D60" i="15"/>
  <c r="M59" i="15"/>
  <c r="L59" i="15"/>
  <c r="K59" i="15"/>
  <c r="J59" i="15"/>
  <c r="I59" i="15"/>
  <c r="H59" i="15"/>
  <c r="G59" i="15"/>
  <c r="F59" i="15"/>
  <c r="E59" i="15"/>
  <c r="D59" i="15"/>
  <c r="M58" i="15"/>
  <c r="L58" i="15"/>
  <c r="K58" i="15"/>
  <c r="J58" i="15"/>
  <c r="I58" i="15"/>
  <c r="H58" i="15"/>
  <c r="G58" i="15"/>
  <c r="F58" i="15"/>
  <c r="E58" i="15"/>
  <c r="D58" i="15"/>
  <c r="M57" i="15"/>
  <c r="L57" i="15"/>
  <c r="K57" i="15"/>
  <c r="J57" i="15"/>
  <c r="I57" i="15"/>
  <c r="H57" i="15"/>
  <c r="G57" i="15"/>
  <c r="F57" i="15"/>
  <c r="E57" i="15"/>
  <c r="D5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3" i="15"/>
  <c r="L53" i="15"/>
  <c r="K53" i="15"/>
  <c r="J53" i="15"/>
  <c r="I53" i="15"/>
  <c r="H53" i="15"/>
  <c r="G53" i="15"/>
  <c r="F53" i="15"/>
  <c r="E53" i="15"/>
  <c r="D53" i="15"/>
  <c r="M52" i="15"/>
  <c r="L52" i="15"/>
  <c r="K52" i="15"/>
  <c r="J52" i="15"/>
  <c r="I52" i="15"/>
  <c r="H52" i="15"/>
  <c r="G52" i="15"/>
  <c r="F52" i="15"/>
  <c r="E52" i="15"/>
  <c r="D52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M48" i="15"/>
  <c r="L48" i="15"/>
  <c r="K48" i="15"/>
  <c r="J48" i="15"/>
  <c r="I48" i="15"/>
  <c r="H48" i="15"/>
  <c r="G48" i="15"/>
  <c r="F48" i="15"/>
  <c r="E48" i="15"/>
  <c r="D48" i="15"/>
  <c r="M47" i="15"/>
  <c r="L47" i="15"/>
  <c r="K47" i="15"/>
  <c r="J47" i="15"/>
  <c r="I47" i="15"/>
  <c r="H47" i="15"/>
  <c r="G47" i="15"/>
  <c r="F47" i="15"/>
  <c r="E47" i="15"/>
  <c r="D47" i="15"/>
  <c r="M46" i="15"/>
  <c r="L46" i="15"/>
  <c r="K46" i="15"/>
  <c r="J46" i="15"/>
  <c r="I46" i="15"/>
  <c r="H46" i="15"/>
  <c r="G46" i="15"/>
  <c r="F46" i="15"/>
  <c r="E46" i="15"/>
  <c r="D46" i="15"/>
  <c r="M45" i="15"/>
  <c r="L45" i="15"/>
  <c r="K45" i="15"/>
  <c r="J45" i="15"/>
  <c r="I45" i="15"/>
  <c r="H45" i="15"/>
  <c r="G45" i="15"/>
  <c r="F45" i="15"/>
  <c r="E45" i="15"/>
  <c r="D45" i="15"/>
  <c r="M44" i="15"/>
  <c r="L44" i="15"/>
  <c r="K44" i="15"/>
  <c r="J44" i="15"/>
  <c r="I44" i="15"/>
  <c r="H44" i="15"/>
  <c r="G44" i="15"/>
  <c r="F44" i="15"/>
  <c r="E44" i="15"/>
  <c r="D44" i="15"/>
  <c r="M43" i="15"/>
  <c r="L43" i="15"/>
  <c r="K43" i="15"/>
  <c r="J43" i="15"/>
  <c r="I43" i="15"/>
  <c r="H43" i="15"/>
  <c r="G43" i="15"/>
  <c r="F43" i="15"/>
  <c r="E43" i="15"/>
  <c r="D43" i="15"/>
  <c r="M42" i="15"/>
  <c r="L42" i="15"/>
  <c r="K42" i="15"/>
  <c r="J42" i="15"/>
  <c r="I42" i="15"/>
  <c r="H42" i="15"/>
  <c r="G42" i="15"/>
  <c r="F42" i="15"/>
  <c r="E42" i="15"/>
  <c r="D42" i="15"/>
  <c r="M41" i="15"/>
  <c r="L41" i="15"/>
  <c r="K41" i="15"/>
  <c r="J41" i="15"/>
  <c r="I41" i="15"/>
  <c r="H41" i="15"/>
  <c r="G41" i="15"/>
  <c r="F41" i="15"/>
  <c r="E41" i="15"/>
  <c r="D41" i="15"/>
  <c r="M40" i="15"/>
  <c r="L40" i="15"/>
  <c r="K40" i="15"/>
  <c r="J40" i="15"/>
  <c r="I40" i="15"/>
  <c r="H40" i="15"/>
  <c r="G40" i="15"/>
  <c r="F40" i="15"/>
  <c r="E40" i="15"/>
  <c r="D40" i="15"/>
  <c r="M39" i="15"/>
  <c r="L39" i="15"/>
  <c r="K39" i="15"/>
  <c r="J39" i="15"/>
  <c r="I39" i="15"/>
  <c r="H39" i="15"/>
  <c r="G39" i="15"/>
  <c r="F39" i="15"/>
  <c r="E39" i="15"/>
  <c r="D39" i="15"/>
  <c r="M38" i="15"/>
  <c r="L38" i="15"/>
  <c r="K38" i="15"/>
  <c r="J38" i="15"/>
  <c r="I38" i="15"/>
  <c r="H38" i="15"/>
  <c r="G38" i="15"/>
  <c r="F38" i="15"/>
  <c r="E38" i="15"/>
  <c r="D38" i="15"/>
  <c r="M37" i="15"/>
  <c r="L37" i="15"/>
  <c r="K37" i="15"/>
  <c r="J37" i="15"/>
  <c r="I37" i="15"/>
  <c r="H37" i="15"/>
  <c r="G37" i="15"/>
  <c r="F37" i="15"/>
  <c r="E37" i="15"/>
  <c r="D37" i="15"/>
  <c r="M36" i="15"/>
  <c r="L36" i="15"/>
  <c r="K36" i="15"/>
  <c r="J36" i="15"/>
  <c r="I36" i="15"/>
  <c r="H36" i="15"/>
  <c r="G36" i="15"/>
  <c r="F36" i="15"/>
  <c r="E36" i="15"/>
  <c r="D36" i="15"/>
  <c r="M35" i="15"/>
  <c r="L35" i="15"/>
  <c r="K35" i="15"/>
  <c r="J35" i="15"/>
  <c r="I35" i="15"/>
  <c r="H35" i="15"/>
  <c r="G35" i="15"/>
  <c r="F35" i="15"/>
  <c r="E35" i="15"/>
  <c r="D35" i="15"/>
  <c r="M34" i="15"/>
  <c r="L34" i="15"/>
  <c r="K34" i="15"/>
  <c r="J34" i="15"/>
  <c r="I34" i="15"/>
  <c r="H34" i="15"/>
  <c r="G34" i="15"/>
  <c r="F34" i="15"/>
  <c r="E34" i="15"/>
  <c r="D34" i="15"/>
  <c r="M33" i="15"/>
  <c r="L33" i="15"/>
  <c r="K33" i="15"/>
  <c r="J33" i="15"/>
  <c r="I33" i="15"/>
  <c r="H33" i="15"/>
  <c r="G33" i="15"/>
  <c r="F33" i="15"/>
  <c r="E33" i="15"/>
  <c r="D33" i="15"/>
  <c r="M32" i="15"/>
  <c r="L32" i="15"/>
  <c r="K32" i="15"/>
  <c r="J32" i="15"/>
  <c r="I32" i="15"/>
  <c r="H32" i="15"/>
  <c r="G32" i="15"/>
  <c r="F32" i="15"/>
  <c r="E32" i="15"/>
  <c r="D32" i="15"/>
  <c r="M31" i="15"/>
  <c r="L31" i="15"/>
  <c r="K31" i="15"/>
  <c r="J31" i="15"/>
  <c r="I31" i="15"/>
  <c r="H31" i="15"/>
  <c r="G31" i="15"/>
  <c r="F31" i="15"/>
  <c r="E31" i="15"/>
  <c r="D31" i="15"/>
  <c r="M30" i="15"/>
  <c r="L30" i="15"/>
  <c r="K30" i="15"/>
  <c r="J30" i="15"/>
  <c r="I30" i="15"/>
  <c r="H30" i="15"/>
  <c r="G30" i="15"/>
  <c r="F30" i="15"/>
  <c r="E30" i="15"/>
  <c r="D30" i="15"/>
  <c r="M29" i="15"/>
  <c r="L29" i="15"/>
  <c r="K29" i="15"/>
  <c r="J29" i="15"/>
  <c r="I29" i="15"/>
  <c r="H29" i="15"/>
  <c r="G29" i="15"/>
  <c r="F29" i="15"/>
  <c r="E29" i="15"/>
  <c r="D29" i="15"/>
  <c r="M28" i="15"/>
  <c r="L28" i="15"/>
  <c r="K28" i="15"/>
  <c r="J28" i="15"/>
  <c r="I28" i="15"/>
  <c r="H28" i="15"/>
  <c r="G28" i="15"/>
  <c r="F28" i="15"/>
  <c r="E28" i="15"/>
  <c r="D28" i="15"/>
  <c r="M27" i="15"/>
  <c r="L27" i="15"/>
  <c r="K27" i="15"/>
  <c r="J27" i="15"/>
  <c r="I27" i="15"/>
  <c r="H27" i="15"/>
  <c r="G27" i="15"/>
  <c r="F27" i="15"/>
  <c r="E27" i="15"/>
  <c r="D27" i="15"/>
  <c r="M26" i="15"/>
  <c r="L26" i="15"/>
  <c r="K26" i="15"/>
  <c r="J26" i="15"/>
  <c r="I26" i="15"/>
  <c r="H26" i="15"/>
  <c r="G26" i="15"/>
  <c r="F26" i="15"/>
  <c r="E26" i="15"/>
  <c r="D26" i="15"/>
  <c r="M25" i="15"/>
  <c r="L25" i="15"/>
  <c r="K25" i="15"/>
  <c r="J25" i="15"/>
  <c r="I25" i="15"/>
  <c r="H25" i="15"/>
  <c r="G25" i="15"/>
  <c r="F25" i="15"/>
  <c r="E25" i="15"/>
  <c r="D25" i="15"/>
  <c r="M24" i="15"/>
  <c r="L24" i="15"/>
  <c r="K24" i="15"/>
  <c r="J24" i="15"/>
  <c r="I24" i="15"/>
  <c r="H24" i="15"/>
  <c r="G24" i="15"/>
  <c r="F24" i="15"/>
  <c r="E24" i="15"/>
  <c r="D24" i="15"/>
  <c r="M23" i="15"/>
  <c r="L23" i="15"/>
  <c r="K23" i="15"/>
  <c r="J23" i="15"/>
  <c r="I23" i="15"/>
  <c r="H23" i="15"/>
  <c r="G23" i="15"/>
  <c r="F23" i="15"/>
  <c r="E23" i="15"/>
  <c r="D23" i="15"/>
  <c r="M22" i="15"/>
  <c r="L22" i="15"/>
  <c r="K22" i="15"/>
  <c r="J22" i="15"/>
  <c r="I22" i="15"/>
  <c r="H22" i="15"/>
  <c r="G22" i="15"/>
  <c r="F22" i="15"/>
  <c r="E22" i="15"/>
  <c r="D22" i="15"/>
  <c r="M21" i="15"/>
  <c r="L21" i="15"/>
  <c r="K21" i="15"/>
  <c r="J21" i="15"/>
  <c r="I21" i="15"/>
  <c r="H21" i="15"/>
  <c r="G21" i="15"/>
  <c r="F21" i="15"/>
  <c r="E21" i="15"/>
  <c r="D21" i="15"/>
  <c r="M20" i="15"/>
  <c r="L20" i="15"/>
  <c r="K20" i="15"/>
  <c r="J20" i="15"/>
  <c r="I20" i="15"/>
  <c r="H20" i="15"/>
  <c r="G20" i="15"/>
  <c r="F20" i="15"/>
  <c r="E20" i="15"/>
  <c r="D20" i="15"/>
  <c r="M19" i="15"/>
  <c r="L19" i="15"/>
  <c r="K19" i="15"/>
  <c r="J19" i="15"/>
  <c r="I19" i="15"/>
  <c r="H19" i="15"/>
  <c r="G19" i="15"/>
  <c r="F19" i="15"/>
  <c r="E19" i="15"/>
  <c r="D19" i="15"/>
  <c r="M18" i="15"/>
  <c r="L18" i="15"/>
  <c r="K18" i="15"/>
  <c r="J18" i="15"/>
  <c r="I18" i="15"/>
  <c r="H18" i="15"/>
  <c r="G18" i="15"/>
  <c r="F18" i="15"/>
  <c r="E18" i="15"/>
  <c r="D18" i="15"/>
  <c r="M17" i="15"/>
  <c r="L17" i="15"/>
  <c r="K17" i="15"/>
  <c r="J17" i="15"/>
  <c r="I17" i="15"/>
  <c r="H17" i="15"/>
  <c r="G17" i="15"/>
  <c r="F17" i="15"/>
  <c r="E17" i="15"/>
  <c r="D17" i="15"/>
  <c r="M16" i="15"/>
  <c r="L16" i="15"/>
  <c r="K16" i="15"/>
  <c r="J16" i="15"/>
  <c r="I16" i="15"/>
  <c r="H16" i="15"/>
  <c r="G16" i="15"/>
  <c r="F16" i="15"/>
  <c r="E16" i="15"/>
  <c r="D16" i="15"/>
  <c r="M15" i="15"/>
  <c r="L15" i="15"/>
  <c r="K15" i="15"/>
  <c r="J15" i="15"/>
  <c r="I15" i="15"/>
  <c r="H15" i="15"/>
  <c r="G15" i="15"/>
  <c r="F15" i="15"/>
  <c r="E15" i="15"/>
  <c r="D15" i="15"/>
  <c r="M14" i="15"/>
  <c r="L14" i="15"/>
  <c r="K14" i="15"/>
  <c r="J14" i="15"/>
  <c r="I14" i="15"/>
  <c r="H14" i="15"/>
  <c r="G14" i="15"/>
  <c r="F14" i="15"/>
  <c r="E14" i="15"/>
  <c r="D14" i="15"/>
  <c r="M13" i="15"/>
  <c r="L13" i="15"/>
  <c r="K13" i="15"/>
  <c r="J13" i="15"/>
  <c r="I13" i="15"/>
  <c r="H13" i="15"/>
  <c r="G13" i="15"/>
  <c r="F13" i="15"/>
  <c r="E13" i="15"/>
  <c r="D13" i="15"/>
  <c r="M12" i="15"/>
  <c r="L12" i="15"/>
  <c r="K12" i="15"/>
  <c r="J12" i="15"/>
  <c r="I12" i="15"/>
  <c r="H12" i="15"/>
  <c r="G12" i="15"/>
  <c r="F12" i="15"/>
  <c r="E12" i="15"/>
  <c r="D12" i="15"/>
  <c r="M11" i="15"/>
  <c r="L11" i="15"/>
  <c r="K11" i="15"/>
  <c r="J11" i="15"/>
  <c r="I11" i="15"/>
  <c r="H11" i="15"/>
  <c r="G11" i="15"/>
  <c r="F11" i="15"/>
  <c r="E11" i="15"/>
  <c r="D11" i="15"/>
  <c r="M10" i="15"/>
  <c r="L10" i="15"/>
  <c r="K10" i="15"/>
  <c r="J10" i="15"/>
  <c r="I10" i="15"/>
  <c r="H10" i="15"/>
  <c r="G10" i="15"/>
  <c r="F10" i="15"/>
  <c r="E10" i="15"/>
  <c r="D10" i="15"/>
  <c r="M9" i="15"/>
  <c r="L9" i="15"/>
  <c r="K9" i="15"/>
  <c r="J9" i="15"/>
  <c r="I9" i="15"/>
  <c r="H9" i="15"/>
  <c r="G9" i="15"/>
  <c r="F9" i="15"/>
  <c r="E9" i="15"/>
  <c r="D9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P28" i="15" s="1"/>
  <c r="C27" i="15"/>
  <c r="C26" i="15"/>
  <c r="C25" i="15"/>
  <c r="C24" i="15"/>
  <c r="P24" i="15" s="1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D8" i="15"/>
  <c r="E8" i="15"/>
  <c r="F8" i="15"/>
  <c r="G8" i="15"/>
  <c r="H8" i="15"/>
  <c r="I8" i="15"/>
  <c r="J8" i="15"/>
  <c r="K8" i="15"/>
  <c r="L8" i="15"/>
  <c r="M8" i="15"/>
  <c r="D6" i="15"/>
  <c r="E6" i="15"/>
  <c r="F6" i="15"/>
  <c r="G6" i="15"/>
  <c r="H6" i="15"/>
  <c r="I6" i="15"/>
  <c r="J6" i="15"/>
  <c r="K6" i="15"/>
  <c r="L6" i="15"/>
  <c r="M6" i="15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N26" i="13"/>
  <c r="L26" i="13"/>
  <c r="C26" i="13"/>
  <c r="D26" i="13"/>
  <c r="E26" i="13"/>
  <c r="F26" i="13"/>
  <c r="G26" i="13"/>
  <c r="H26" i="13"/>
  <c r="I26" i="13"/>
  <c r="J26" i="13"/>
  <c r="K26" i="13"/>
  <c r="N25" i="13"/>
  <c r="L25" i="13"/>
  <c r="N24" i="13"/>
  <c r="L24" i="13"/>
  <c r="N23" i="13"/>
  <c r="L23" i="13"/>
  <c r="N22" i="13"/>
  <c r="L22" i="13"/>
  <c r="N21" i="13"/>
  <c r="L21" i="13"/>
  <c r="N20" i="13"/>
  <c r="L20" i="13"/>
  <c r="N19" i="13"/>
  <c r="L19" i="13"/>
  <c r="N18" i="13"/>
  <c r="L18" i="13"/>
  <c r="N17" i="13"/>
  <c r="L17" i="13"/>
  <c r="N16" i="13"/>
  <c r="L16" i="13"/>
  <c r="N15" i="13"/>
  <c r="L15" i="13"/>
  <c r="N14" i="13"/>
  <c r="L14" i="13"/>
  <c r="N13" i="13"/>
  <c r="L13" i="13"/>
  <c r="N12" i="13"/>
  <c r="L12" i="13"/>
  <c r="N11" i="13"/>
  <c r="L11" i="13"/>
  <c r="N10" i="13"/>
  <c r="L10" i="13"/>
  <c r="N9" i="13"/>
  <c r="L9" i="13"/>
  <c r="N8" i="13"/>
  <c r="L8" i="13"/>
  <c r="N7" i="13"/>
  <c r="L7" i="13"/>
  <c r="I11" i="12"/>
  <c r="I12" i="12"/>
  <c r="I13" i="12"/>
  <c r="I14" i="12"/>
  <c r="I15" i="12"/>
  <c r="I16" i="12"/>
  <c r="I17" i="12"/>
  <c r="H49" i="16" l="1"/>
  <c r="C21" i="17"/>
  <c r="D17" i="11"/>
  <c r="D27" i="11" s="1"/>
  <c r="H78" i="15"/>
  <c r="L63" i="15"/>
  <c r="D63" i="15"/>
  <c r="K63" i="15"/>
  <c r="J63" i="15"/>
  <c r="I63" i="15"/>
  <c r="H63" i="15"/>
  <c r="G63" i="15"/>
  <c r="F63" i="15"/>
  <c r="M63" i="15"/>
  <c r="E63" i="15"/>
  <c r="B11" i="11" l="1"/>
  <c r="C7" i="17"/>
  <c r="E1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B7" authorId="0" shapeId="0" xr:uid="{90B846E1-3384-41D6-A64E-4E37DB51B83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total de viande utilisable (après désossage). Vient de la feuille « Stocks Gibier ».</t>
        </r>
      </text>
    </comment>
    <comment ref="E7" authorId="0" shapeId="0" xr:uid="{0F6C85F2-CC5F-413A-822B-5576B85CBB67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total de pâté produit, tous pâtés confondus. Calculé dans « Production » (somme des poids par pâté).</t>
        </r>
      </text>
    </comment>
    <comment ref="H7" authorId="0" shapeId="0" xr:uid="{6A771201-A6B3-4A5B-9CCA-1C165DDD3B7A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Nombre de participants à la journée. Se modifie dans « Paramètres ».</t>
        </r>
      </text>
    </comment>
    <comment ref="B11" authorId="0" shapeId="0" xr:uid="{754E8216-0AAF-4581-AE98-11F317D6ACDD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estimé de tous les ingrédients d'après les recettes. Calculé dans « Budget &amp; Comptes ».</t>
        </r>
      </text>
    </comment>
    <comment ref="E11" authorId="0" shapeId="0" xr:uid="{A8C263C9-B687-4C6A-A8CD-70EDA588D984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des ingrédients ÷ nombre de participants.</t>
        </r>
      </text>
    </comment>
    <comment ref="H11" authorId="0" shapeId="0" xr:uid="{7603105D-EA16-4013-AAA2-F3FD6D96A4FC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Nombre de bocaux de 315 g si on emballait tout dans ce format (estimation rapide).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5" authorId="0" shapeId="0" xr:uid="{CD127DE7-14B6-4350-8FC4-58AC1D5F368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Lieu de la journée. Texte libre.</t>
        </r>
      </text>
    </comment>
    <comment ref="C6" authorId="0" shapeId="0" xr:uid="{4EFE1338-F13E-4448-9224-3ADBFF52A04C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Année. Texte libre.</t>
        </r>
      </text>
    </comment>
    <comment ref="C7" authorId="0" shapeId="0" xr:uid="{C494D9F8-2202-4598-BBF8-A3AEA4969E91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Nombre de participants. Sert à calculer le coût par personne (Budget &amp; Comptes).</t>
        </r>
      </text>
    </comment>
    <comment ref="D11" authorId="0" shapeId="0" xr:uid="{F552D39B-63AD-44DF-9276-8BBE398258A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Prix d'achat de l'ingrédient, dans l'unité indiquée en colonne C (€ par kg, par litre ou par unité). Cases bleues = à mettre à jour selon vos achats.</t>
        </r>
      </text>
    </comment>
    <comment ref="E11" authorId="0" shapeId="0" xr:uid="{3FBB91C8-4855-499F-9BDA-447B3D80DA43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Catégorie : « Gibier » = chassé (gratuit). « Achat » = à acheter → apparaît automatiquement dans la Liste de courses.</t>
        </r>
      </text>
    </comment>
    <comment ref="G11" authorId="0" shapeId="0" xr:uid="{B877D1E2-096A-4350-B58E-C36A9D5C17A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Format nominal du bocal (en grammes).</t>
        </r>
      </text>
    </comment>
    <comment ref="H11" authorId="0" shapeId="0" xr:uid="{C73A13EE-A692-45FB-9A38-CCE2BC3B93C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de pâté réellement contenu dans le bocal (un peu moins que le format nominal). Sert au calcul du nombre de bocaux. Case bleue = modifiable.</t>
        </r>
      </text>
    </comment>
    <comment ref="I11" authorId="0" shapeId="0" xr:uid="{D61D7A8D-EF9B-4352-865B-5DB9944B2B8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réel converti en kg (automatique).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7" authorId="0" shapeId="0" xr:uid="{E33EA53B-BD8F-4F10-ABFF-202C417C534F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de gibier apporté par ce chasseur, en kg (poids brut, avec os). Cases bleues = à remplir.</t>
        </r>
      </text>
    </comment>
    <comment ref="L7" authorId="0" shapeId="0" xr:uid="{9D0785F1-D999-43A6-923A-F72F1B4BE09B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Total brut = somme des apports de tous les chasseurs (automatique).</t>
        </r>
      </text>
    </comment>
    <comment ref="M7" authorId="0" shapeId="0" xr:uid="{C7CDB043-B89A-4692-BE24-CAFCE992B928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Rendement après désossage/préparation. Ex. 56% = il reste 56% du poids brut une fois préparé. Case bleue = modifiable.</t>
        </r>
      </text>
    </comment>
    <comment ref="N7" authorId="0" shapeId="0" xr:uid="{B3E9D3ED-9DBA-44C8-90FE-8418D07A2A73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net utilisable = Total brut × Rendement (automatique). C'est ce poids qui sert de base aux recettes (feuille Production).</t>
        </r>
      </text>
    </comment>
    <comment ref="N26" authorId="0" shapeId="0" xr:uid="{1C37F20B-3C4B-43C1-B124-7B0A07D8555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net total de tout le gibier de la journée.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P2" authorId="0" shapeId="0" xr:uid="{96024901-4730-4B89-A3CF-5F131F3E01B8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Menu déroulant : choisissez un pâté. La colonne « Sélection » (à droite) affiche alors sa recette complète.</t>
        </r>
      </text>
    </comment>
    <comment ref="D7" authorId="0" shapeId="0" xr:uid="{6D50A183-83A8-4406-AFDB-2B7048ECF57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Dose par kg de viande de base. Ex. 0,6 = 600 g de cet ingrédient pour 1 kg de viande. Modifiez seulement si vous changez la recette.</t>
        </r>
      </text>
    </comment>
    <comment ref="O7" authorId="0" shapeId="0" xr:uid="{1349F1D4-61D0-4135-ADD6-CD919BC1AF0C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Dose par kg pour le pâté choisi dans le menu ci-dessus. Automatique.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D6" authorId="0" shapeId="0" xr:uid="{FCA515E7-2885-415F-9560-F1FF17934F0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Viande de base (kg net) pour ce pâté, reprise automatiquement de « Stocks Gibier ». Un pâté non produit cette année est à 0.</t>
        </r>
      </text>
    </comment>
    <comment ref="O8" authorId="0" shapeId="0" xr:uid="{E5687C38-CFE2-44AF-8376-EE4AE47F8C18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Colonne technique (conversion des prix). Ne pas modifier.</t>
        </r>
      </text>
    </comment>
    <comment ref="P8" authorId="0" shapeId="0" xr:uid="{FF2113E3-D08A-4C8F-A586-CA5F502B0F51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Colonne technique (conversion des poids). Ne pas modifier.</t>
        </r>
      </text>
    </comment>
    <comment ref="D9" authorId="0" shapeId="0" xr:uid="{F20754C6-1D39-4C38-A4F2-5CB8742B1DB1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Quantité d'ingrédient = dose par kg (feuille Recettes) × viande de base (ligne 6). Automatique.</t>
        </r>
      </text>
    </comment>
    <comment ref="N9" authorId="0" shapeId="0" xr:uid="{AD15A5D7-4179-4115-B9C7-117B2C9499F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Quantité totale de cet ingrédient pour l'ensemble des pâtés. Utilisée par la Liste de courses.</t>
        </r>
      </text>
    </comment>
    <comment ref="D63" authorId="0" shapeId="0" xr:uid="{92315DCF-976C-41A2-B16F-2AA2A0F5A8F2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total du pâté = somme des ingrédients (g convertis en kg, unités non périssables ignorées). Automatique.</t>
        </r>
      </text>
    </comment>
    <comment ref="C68" authorId="0" shapeId="0" xr:uid="{BA6AACB4-729A-4E13-930C-D74BB9C0E905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Saisissez le nombre de bocaux de ce format pour ce pâté. Cases bleues.</t>
        </r>
      </text>
    </comment>
    <comment ref="H68" authorId="0" shapeId="0" xr:uid="{5FA8290D-FBC6-42D0-94B3-B52059FDA004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réellement mis en bocaux = nombre de bocaux × poids réel du format (Paramètres).</t>
        </r>
      </text>
    </comment>
    <comment ref="I68" authorId="0" shapeId="0" xr:uid="{B5580CBE-636F-42FF-BE6F-C185E40F4CEC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Poids total du pâté à répartir (repris de la ligne 63).</t>
        </r>
      </text>
    </comment>
    <comment ref="J68" authorId="0" shapeId="0" xr:uid="{2CD0023B-20F6-49CB-92C1-FFA44399A102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Écart entre le poids du pâté et ce qui est mis en bocaux. S'affiche en rouge si l'écart dépasse 0,5 kg.</t>
        </r>
      </text>
    </comment>
    <comment ref="K68" authorId="0" shapeId="0" xr:uid="{F6914634-3EA8-416E-B4AB-6FA34084006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Suggestion : nombre de bocaux de 315 g nécessaires pour tout emballer.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D7" authorId="0" shapeId="0" xr:uid="{11EC909C-34E8-4169-88E3-F3B733375689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Quantité totale nécessaire, calculée dans « Production ». Automatique.</t>
        </r>
      </text>
    </comment>
    <comment ref="E7" authorId="0" shapeId="0" xr:uid="{A3E4CB44-96E1-434C-9BBC-F5F0863F4B24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Indiquez ce que vous avez déjà en stock (même unité que la colonne C). Case bleue.</t>
        </r>
      </text>
    </comment>
    <comment ref="F7" authorId="0" shapeId="0" xr:uid="{236899A2-96F1-454A-B90A-9BCF5C6BF165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À acheter = Besoin − En stock (jamais négatif). Automatique.</t>
        </r>
      </text>
    </comment>
    <comment ref="G7" authorId="0" shapeId="0" xr:uid="{734732C8-8D54-4E7D-9FC0-70BD012FB62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Prix unitaire repris de « Paramètres ».</t>
        </r>
      </text>
    </comment>
    <comment ref="H7" authorId="0" shapeId="0" xr:uid="{79F7594D-1A0A-4DCF-BF67-6334EA75016F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= À acheter × Prix unitaire (grammes convertis automatiquement). Automatique.</t>
        </r>
      </text>
    </comment>
    <comment ref="I7" authorId="0" shapeId="0" xr:uid="{09C41CE9-7694-4EFD-B99E-07FF9989E72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Qui s'occupe d'acheter cet ingrédient. Texte libre. Case bleue.</t>
        </r>
      </text>
    </comment>
    <comment ref="J7" authorId="0" shapeId="0" xr:uid="{328D6C57-F0BB-415E-9DAA-633BB8B721F3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Menu déroulant : passez à « Acheté » une fois l'achat fait (la ligne devient verte).</t>
        </r>
      </text>
    </comment>
    <comment ref="C53" authorId="0" shapeId="0" xr:uid="{13097E8E-4D0D-42E8-BCE4-F8B70A6821F5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Bocaux de ce format déjà en stock. Case bleue.</t>
        </r>
      </text>
    </comment>
    <comment ref="D53" authorId="0" shapeId="0" xr:uid="{D3565ADD-DB25-4EE6-97A0-867120DD3ED7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Nombre de bocaux prévus, repris de la répartition dans « Production ».</t>
        </r>
      </text>
    </comment>
    <comment ref="E53" authorId="0" shapeId="0" xr:uid="{5B903977-B6E2-4D7F-A42B-83A7E685556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À acheter = Prévu − En stock. Automatique.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5" authorId="0" shapeId="0" xr:uid="{9EC87238-EA02-486D-AF73-B48FAAD9ECF1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total estimé de tous les ingrédients d'après les recettes (Production × prix Paramètres). Automatique.</t>
        </r>
      </text>
    </comment>
    <comment ref="C7" authorId="0" shapeId="0" xr:uid="{5704B787-CFB8-40FC-A4C4-E33CBA354FB3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estimé des ingrédients ÷ nombre de participants. Automatique.</t>
        </r>
      </text>
    </comment>
    <comment ref="C11" authorId="0" shapeId="0" xr:uid="{1573BE6E-F4F2-4639-9563-EE04173B8119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Coût estimé des ingrédients de ce pâté. Automatique.</t>
        </r>
      </text>
    </comment>
    <comment ref="D26" authorId="0" shapeId="0" xr:uid="{B42CC295-FA1C-4F5E-9596-F26F017613F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Montant réellement dépensé (données 2026). Saisi à la main — case bleue, à adapter chaque année.</t>
        </r>
      </text>
    </comment>
    <comment ref="D38" authorId="0" shapeId="0" xr:uid="{CC6F9F27-BB15-477F-9C03-E8C479D83A26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Total des dépenses réelles de la journée. Automatique.</t>
        </r>
      </text>
    </comment>
    <comment ref="D39" authorId="0" shapeId="0" xr:uid="{F74F4978-7249-4555-9175-5B8CDA1D333C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Part par participant = total des dépenses ÷ nombre de participants. Automatique.</t>
        </r>
      </text>
    </comment>
    <comment ref="C43" authorId="0" shapeId="0" xr:uid="{19CFE5CE-B8C3-491C-A7F6-8C0EC5B4E21E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Remboursements réels de la journée 2026. À adapter chaque année — cases bleues.</t>
        </r>
      </text>
    </comment>
  </commentList>
</comments>
</file>

<file path=xl/sharedStrings.xml><?xml version="1.0" encoding="utf-8"?>
<sst xmlns="http://schemas.openxmlformats.org/spreadsheetml/2006/main" count="524" uniqueCount="211">
  <si>
    <t>vincent</t>
  </si>
  <si>
    <t>denis</t>
  </si>
  <si>
    <t>benoit</t>
  </si>
  <si>
    <t>frederic</t>
  </si>
  <si>
    <t>chevreuil chair</t>
  </si>
  <si>
    <t>TOTAL</t>
  </si>
  <si>
    <t>barde</t>
  </si>
  <si>
    <t>laurier</t>
  </si>
  <si>
    <t>poivre</t>
  </si>
  <si>
    <t>sucre</t>
  </si>
  <si>
    <t>thomas D</t>
  </si>
  <si>
    <t>lièvre sans os</t>
  </si>
  <si>
    <t>faisan sans os</t>
  </si>
  <si>
    <t>lapin sans os</t>
  </si>
  <si>
    <t>chevreuil  epaule/ gigue entières</t>
  </si>
  <si>
    <t>perdrix pigeon  entier</t>
  </si>
  <si>
    <t>kg</t>
  </si>
  <si>
    <t>u</t>
  </si>
  <si>
    <t>g</t>
  </si>
  <si>
    <t>canard</t>
  </si>
  <si>
    <t>poitrine fumée</t>
  </si>
  <si>
    <t>oignons</t>
  </si>
  <si>
    <t>l</t>
  </si>
  <si>
    <t>JB</t>
  </si>
  <si>
    <t>sanglier chair</t>
  </si>
  <si>
    <t>lièvre</t>
  </si>
  <si>
    <t>sanglier</t>
  </si>
  <si>
    <t>foie de sanglier</t>
  </si>
  <si>
    <t>faisan</t>
  </si>
  <si>
    <t>lapin</t>
  </si>
  <si>
    <t>bécasse</t>
  </si>
  <si>
    <t>perdreaux</t>
  </si>
  <si>
    <t>gorge de porc</t>
  </si>
  <si>
    <t>chair à saucisse</t>
  </si>
  <si>
    <t>4 épices</t>
  </si>
  <si>
    <t>poivre vert</t>
  </si>
  <si>
    <t>carottes pour bocaux</t>
  </si>
  <si>
    <t>celeri branche</t>
  </si>
  <si>
    <t>champignons</t>
  </si>
  <si>
    <t>tomates</t>
  </si>
  <si>
    <t>clous de girofle</t>
  </si>
  <si>
    <t>oranges bio</t>
  </si>
  <si>
    <t>citrons bio</t>
  </si>
  <si>
    <t>vin blanc chenin</t>
  </si>
  <si>
    <t>vin rouge languedoc</t>
  </si>
  <si>
    <t>porto</t>
  </si>
  <si>
    <t>br</t>
  </si>
  <si>
    <t>fl</t>
  </si>
  <si>
    <t>persil</t>
  </si>
  <si>
    <t>gs</t>
  </si>
  <si>
    <t>oignons nouveaux</t>
  </si>
  <si>
    <t>olives noires niçoises</t>
  </si>
  <si>
    <t>huile d'olive</t>
  </si>
  <si>
    <t>ail frais</t>
  </si>
  <si>
    <t>carottes nouvelles</t>
  </si>
  <si>
    <t>saindoux</t>
  </si>
  <si>
    <t>CS</t>
  </si>
  <si>
    <t>cacao vanhouten</t>
  </si>
  <si>
    <t>cerf chair</t>
  </si>
  <si>
    <t>m2</t>
  </si>
  <si>
    <t>cognac/armagnac</t>
  </si>
  <si>
    <t>sel</t>
  </si>
  <si>
    <t>thym</t>
  </si>
  <si>
    <t>olivier</t>
  </si>
  <si>
    <t>foie et abats chevreuil</t>
  </si>
  <si>
    <t>KG</t>
  </si>
  <si>
    <t>gingembre</t>
  </si>
  <si>
    <t>CC</t>
  </si>
  <si>
    <t>PISTACHES</t>
  </si>
  <si>
    <t>foie de volailles</t>
  </si>
  <si>
    <t>thomas</t>
  </si>
  <si>
    <t>fred</t>
  </si>
  <si>
    <t>VEAU poitrine</t>
  </si>
  <si>
    <t>foie de chevreuil integere dans chevreurol</t>
  </si>
  <si>
    <t>poitrine de porc</t>
  </si>
  <si>
    <t>lard GRAS</t>
  </si>
  <si>
    <t>baies genievre</t>
  </si>
  <si>
    <t>ECHINE DE PORC</t>
  </si>
  <si>
    <t>PARAMÈTRES — pâté 2026</t>
  </si>
  <si>
    <t>GÉNÉRAL</t>
  </si>
  <si>
    <t>Lieu</t>
  </si>
  <si>
    <t>VINCENT (Maninghem)</t>
  </si>
  <si>
    <t>Année</t>
  </si>
  <si>
    <t>Nombre de participants</t>
  </si>
  <si>
    <t>PRIX DES INGRÉDIENTS</t>
  </si>
  <si>
    <t>Ingrédient</t>
  </si>
  <si>
    <t>Unité</t>
  </si>
  <si>
    <t>Prix unitaire (€)</t>
  </si>
  <si>
    <t>Catégorie</t>
  </si>
  <si>
    <t>Gibier</t>
  </si>
  <si>
    <t>chevreuil paté</t>
  </si>
  <si>
    <t>foie chevreuil a integrer dans paté capagne</t>
  </si>
  <si>
    <t>chevreiil civet</t>
  </si>
  <si>
    <t>Achat</t>
  </si>
  <si>
    <t>vinaigre de vin</t>
  </si>
  <si>
    <t>échalottes</t>
  </si>
  <si>
    <t>alcool blanc de fruit</t>
  </si>
  <si>
    <t>FORMATS DE BOCAUX</t>
  </si>
  <si>
    <t>Format (g)</t>
  </si>
  <si>
    <t>Poids réel (g)</t>
  </si>
  <si>
    <t>Poids réel (kg)</t>
  </si>
  <si>
    <t>STOCKS GIBIER — apports par chasseur</t>
  </si>
  <si>
    <t>Saisissez les apports (kg) de chaque chasseur. Brut et Net se calculent automatiquement.</t>
  </si>
  <si>
    <t>Type de gibier</t>
  </si>
  <si>
    <t>françois</t>
  </si>
  <si>
    <t>antoine</t>
  </si>
  <si>
    <t>Total brut (kg)</t>
  </si>
  <si>
    <t>Rendement</t>
  </si>
  <si>
    <t>Net (kg)</t>
  </si>
  <si>
    <t>lievre avec os</t>
  </si>
  <si>
    <t>lièvre pour rillette</t>
  </si>
  <si>
    <t>foie chevreuil pour paté campagne</t>
  </si>
  <si>
    <t>sanglier avec os</t>
  </si>
  <si>
    <t>sanglier foie</t>
  </si>
  <si>
    <t>cerf  avec os</t>
  </si>
  <si>
    <t>faisan avec os</t>
  </si>
  <si>
    <t>lapin avec os</t>
  </si>
  <si>
    <t>bécasse 250 gr pièce</t>
  </si>
  <si>
    <t>RECETTES — quantité d'ingrédient par kg de viande de base</t>
  </si>
  <si>
    <t>Coefficients : pour 1 kg de viande, combien d'ingrédient. (bleu = modifiable)</t>
  </si>
  <si>
    <t>Pâté de lièvre</t>
  </si>
  <si>
    <t>Pâté de chevreuil</t>
  </si>
  <si>
    <t>Pâté de sanglier (campagne)</t>
  </si>
  <si>
    <t>Pâté de faisan</t>
  </si>
  <si>
    <t>Daube de sanglier</t>
  </si>
  <si>
    <t>Pâté de foie de sanglier</t>
  </si>
  <si>
    <t>Pâté de foie de chevreuil</t>
  </si>
  <si>
    <t>Rillette de perdreaux</t>
  </si>
  <si>
    <t>Rillette de lièvre</t>
  </si>
  <si>
    <t>Civet de chevreuil</t>
  </si>
  <si>
    <t>▼ Choisir une recette :</t>
  </si>
  <si>
    <t>Sélection (qté/kg)</t>
  </si>
  <si>
    <t>PRODUCTION — quantités calculées automatiquement</t>
  </si>
  <si>
    <t>VIANDE DE BASE PAR PÂTÉ (kg net)</t>
  </si>
  <si>
    <t>Viande de base (kg)</t>
  </si>
  <si>
    <t>Total qté</t>
  </si>
  <si>
    <t>POIDS TOTAL PÂTÉ (kg)</t>
  </si>
  <si>
    <t>fact. masse (kg)</t>
  </si>
  <si>
    <t>RÉPARTITION EN BOCAUX (saisir le nb de bocaux par format)</t>
  </si>
  <si>
    <t>Pâté</t>
  </si>
  <si>
    <t>110 g</t>
  </si>
  <si>
    <t>180 g</t>
  </si>
  <si>
    <t>315 g</t>
  </si>
  <si>
    <t>450 g</t>
  </si>
  <si>
    <t>675 g</t>
  </si>
  <si>
    <t>Poids emballé (kg)</t>
  </si>
  <si>
    <t>Poids total (kg)</t>
  </si>
  <si>
    <t>Écart (kg)</t>
  </si>
  <si>
    <t>Nb 315g suggéré</t>
  </si>
  <si>
    <t>LISTE DE COURSES — calculée automatiquement</t>
  </si>
  <si>
    <t>Besoin = Production. Saisissez « En stock » et « Qui ». À acheter et Coût se calculent.</t>
  </si>
  <si>
    <t>Besoin</t>
  </si>
  <si>
    <t>En stock</t>
  </si>
  <si>
    <t>À acheter</t>
  </si>
  <si>
    <t>Prix unit. (€)</t>
  </si>
  <si>
    <t>Coût (€)</t>
  </si>
  <si>
    <t>Qui s'en occupe</t>
  </si>
  <si>
    <t>TOTAL ACHATS (€)</t>
  </si>
  <si>
    <t>BOCAUX À PRÉVOIR</t>
  </si>
  <si>
    <t>Format</t>
  </si>
  <si>
    <t>Prévu (Production)</t>
  </si>
  <si>
    <t>Statut</t>
  </si>
  <si>
    <t>À faire</t>
  </si>
  <si>
    <t>BUDGET &amp; COMPTES</t>
  </si>
  <si>
    <t>BUDGET PRÉVISIONNEL (estimé d'après les recettes)</t>
  </si>
  <si>
    <t>Coût total des ingrédients (€)</t>
  </si>
  <si>
    <t>Coût estimé par participant (€)</t>
  </si>
  <si>
    <t>COÛT ESTIMÉ PAR PÂTÉ</t>
  </si>
  <si>
    <t>COMPTES RÉELS DE LA JOURNÉE 2026</t>
  </si>
  <si>
    <t>Qui</t>
  </si>
  <si>
    <t>Poste</t>
  </si>
  <si>
    <t>Montant (€)</t>
  </si>
  <si>
    <t>achat bocaux</t>
  </si>
  <si>
    <t>foie de volaille et mirabelle</t>
  </si>
  <si>
    <t>étiquettes</t>
  </si>
  <si>
    <t>petit complément du jour J (Intermarché)</t>
  </si>
  <si>
    <t>gorge de porc (Pruvost Leroy)</t>
  </si>
  <si>
    <t>joints (Gamm Vert)</t>
  </si>
  <si>
    <t>vins, armagnac, épices, veau (Intermarché)</t>
  </si>
  <si>
    <t>TOTAL DÉPENSES</t>
  </si>
  <si>
    <t>Part par participant (€)</t>
  </si>
  <si>
    <t>REMBOURSEMENTS</t>
  </si>
  <si>
    <t>À</t>
  </si>
  <si>
    <t>jb</t>
  </si>
  <si>
    <t>(à régler)</t>
  </si>
  <si>
    <t>🦌  PÂTÉ 2026 — Tableau de bord</t>
  </si>
  <si>
    <t>Journée pâtés de gibier — Maninghem</t>
  </si>
  <si>
    <t>Gibier net total (kg)</t>
  </si>
  <si>
    <t>Poids total pâté (kg)</t>
  </si>
  <si>
    <t>Participants</t>
  </si>
  <si>
    <t>Budget ingrédients (€)</t>
  </si>
  <si>
    <t>Coût / participant (€)</t>
  </si>
  <si>
    <t>Bocaux 315g suggérés</t>
  </si>
  <si>
    <t>RÉCAP PAR PÂTÉ</t>
  </si>
  <si>
    <t>Poids (kg)</t>
  </si>
  <si>
    <t>f.coût</t>
  </si>
  <si>
    <t>Légende :  🔵 bleu = à remplir vous-même    🟢 vert = repris d'une autre feuille    ⚫ noir = calcul automatique (ne pas toucher)</t>
  </si>
  <si>
    <t>ℹ️  COMMENT UTILISER CE CLASSEUR (dans l'ordre des onglets)</t>
  </si>
  <si>
    <t>1.  Paramètres — vérifiez les prix des ingrédients et le nombre de participants (cases bleues).</t>
  </si>
  <si>
    <t>2.  Stocks Gibier — saisissez le gibier apporté par chaque chasseur (cases bleues). Le net se calcule tout seul.</t>
  </si>
  <si>
    <t>3.  Recettes — les doses par kg de viande. À ne modifier que si vous changez une recette.</t>
  </si>
  <si>
    <t>4.  Production — tout est automatique : quantités d'ingrédients et poids par pâté. Saisissez le nombre de bocaux par format.</t>
  </si>
  <si>
    <t>5.  Liste de courses — se remplit seule. Indiquez ce que vous avez « en stock » et qui s'occupe des achats.</t>
  </si>
  <si>
    <t>6.  Budget &amp; Comptes — coût estimé + comptes réels de la journée et remboursements.</t>
  </si>
  <si>
    <t>Astuce : les cellules avec un petit triangle rouge contiennent une explication (passez la souris dessus).</t>
  </si>
  <si>
    <t>Légende :  🔵 bleu = à remplir vous-même    ⚫ noir = calcul automatique. Survolez les cellules avec un triangle rouge pour une explication.</t>
  </si>
  <si>
    <t>Légende :  🔵 bleu = à remplir vous-même    ⚫ noir = calcul automatique. Survolez les triangles rouges pour une explication.</t>
  </si>
  <si>
    <t>Légende :  🔵 bleu = dose modifiable    ⚫ noir = calcul. Choisissez une recette dans la liste déroulante à droite (cellule jaune).</t>
  </si>
  <si>
    <t>Légende :  🔵 bleu = à remplir (bocaux)    🟢 vert = repris d'une autre feuille    ⚫ noir = calcul automatique. Survolez les triangles rouges pour l'aide.</t>
  </si>
  <si>
    <t>Tout ce tableau se calcule automatiquement à partir des Recettes et de la viande de base (ligne 6). Rien à saisir ici.</t>
  </si>
  <si>
    <t>Légende :  🔵 bleu = à remplir vous-même    ⚫ noir = calcul automatique. Survolez les triangles rouges pour l'aide.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</si>
</sst>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0"/>
    <numFmt numFmtId="166" formatCode="#,##0.00\ \€;;&quot;-&quot;"/>
    <numFmt numFmtId="167" formatCode="#,##0.00;\-#,##0.00;&quot;-&quot;"/>
    <numFmt numFmtId="168" formatCode="0.###;\-0.###;&quot;-&quot;"/>
    <numFmt numFmtId="169" formatCode="0;;&quot;-&quot;"/>
    <numFmt numFmtId="170" formatCode="#,##0.0\ &quot;kg&quot;"/>
    <numFmt numFmtId="171" formatCode="#,##0\ \€"/>
    <numFmt numFmtId="172" formatCode="#,##0.0\ \€"/>
    <numFmt numFmtId="173" formatCode="#,##0.00\ &quot;kg&quot;;;&quot;-&quot;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E564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3E564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BBBBBB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rgb="FF3E5641"/>
      <name val="Calibri"/>
      <family val="2"/>
      <scheme val="minor"/>
    </font>
    <font>
      <i/>
      <sz val="11"/>
      <color rgb="FF7A5C3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5B6E3A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7A5C3E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5B6E3A"/>
      <name val="Calibri"/>
      <family val="2"/>
      <scheme val="minor"/>
    </font>
    <font>
      <sz val="10"/>
      <color rgb="FF7A5C3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5D3A"/>
        <bgColor indexed="64"/>
      </patternFill>
    </fill>
    <fill>
      <patternFill patternType="solid">
        <fgColor rgb="FF6B8E4E"/>
        <bgColor indexed="64"/>
      </patternFill>
    </fill>
    <fill>
      <patternFill patternType="solid">
        <fgColor rgb="FFF3F1E7"/>
        <bgColor indexed="64"/>
      </patternFill>
    </fill>
    <fill>
      <patternFill patternType="solid">
        <fgColor rgb="FFDCE3CE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7A5C3E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4" fillId="2" borderId="0" xfId="0" applyFont="1" applyFill="1" applyAlignment="1">
      <alignment horizontal="center" vertical="center"/>
    </xf>
    <xf numFmtId="170" fontId="15" fillId="3" borderId="0" xfId="0" applyNumberFormat="1" applyFont="1" applyFill="1" applyAlignment="1">
      <alignment horizontal="center" vertical="center"/>
    </xf>
    <xf numFmtId="1" fontId="15" fillId="3" borderId="0" xfId="0" applyNumberFormat="1" applyFont="1" applyFill="1" applyAlignment="1">
      <alignment horizontal="center" vertical="center"/>
    </xf>
    <xf numFmtId="171" fontId="15" fillId="7" borderId="0" xfId="0" applyNumberFormat="1" applyFont="1" applyFill="1" applyAlignment="1">
      <alignment horizontal="center" vertical="center"/>
    </xf>
    <xf numFmtId="172" fontId="15" fillId="7" borderId="0" xfId="0" applyNumberFormat="1" applyFont="1" applyFill="1" applyAlignment="1">
      <alignment horizontal="center" vertical="center"/>
    </xf>
    <xf numFmtId="1" fontId="15" fillId="7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8" fontId="4" fillId="0" borderId="1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vertical="center"/>
    </xf>
    <xf numFmtId="168" fontId="4" fillId="4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167" fontId="4" fillId="4" borderId="1" xfId="0" applyNumberFormat="1" applyFont="1" applyFill="1" applyBorder="1" applyAlignment="1">
      <alignment vertical="center"/>
    </xf>
    <xf numFmtId="167" fontId="0" fillId="4" borderId="1" xfId="0" applyNumberForma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167" fontId="6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7" fontId="1" fillId="5" borderId="1" xfId="0" applyNumberFormat="1" applyFont="1" applyFill="1" applyBorder="1" applyAlignment="1">
      <alignment vertical="center"/>
    </xf>
    <xf numFmtId="167" fontId="6" fillId="5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4" borderId="5" xfId="0" applyFill="1" applyBorder="1" applyAlignment="1">
      <alignment vertical="center"/>
    </xf>
    <xf numFmtId="166" fontId="4" fillId="4" borderId="1" xfId="0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66" fontId="4" fillId="4" borderId="2" xfId="0" applyNumberFormat="1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173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73" fontId="0" fillId="4" borderId="1" xfId="0" applyNumberFormat="1" applyFill="1" applyBorder="1" applyAlignment="1">
      <alignment vertical="center"/>
    </xf>
    <xf numFmtId="166" fontId="0" fillId="4" borderId="1" xfId="0" applyNumberFormat="1" applyFill="1" applyBorder="1" applyAlignment="1">
      <alignment vertical="center"/>
    </xf>
    <xf numFmtId="173" fontId="1" fillId="5" borderId="1" xfId="0" applyNumberFormat="1" applyFont="1" applyFill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67" fontId="0" fillId="0" borderId="1" xfId="0" applyNumberForma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167" fontId="0" fillId="4" borderId="1" xfId="0" applyNumberForma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169" fontId="4" fillId="4" borderId="1" xfId="0" applyNumberFormat="1" applyFont="1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169" fontId="1" fillId="5" borderId="1" xfId="0" applyNumberFormat="1" applyFont="1" applyFill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7" fontId="1" fillId="4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166" fontId="1" fillId="5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1" xfId="0" applyNumberFormat="1" applyFont="1" applyBorder="1" applyAlignment="1">
      <alignment vertical="center"/>
    </xf>
  </cellXfs>
  <cellStyles count="1">
    <cellStyle name="Normal" xfId="0" builtinId="0"/>
  </cellStyles>
  <dxfs count="3">
    <dxf>
      <font>
        <b/>
        <i val="0"/>
        <color rgb="FF1E5631"/>
      </font>
      <fill>
        <patternFill patternType="solid">
          <fgColor indexed="64"/>
          <bgColor rgb="FFD6E4C3"/>
        </patternFill>
      </fill>
    </dxf>
    <dxf>
      <font>
        <color rgb="FFC00000"/>
      </font>
    </dxf>
    <dxf>
      <font>
        <color rgb="FF1E5631"/>
      </font>
      <fill>
        <patternFill patternType="solid">
          <fgColor indexed="64"/>
          <bgColor rgb="FFE8EEDD"/>
        </patternFill>
      </fill>
    </dxf>
  </dxfs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37E41A-2438-4C02-843E-A82080616D9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4de098c-2ec3-43f8-a311-81681fe14f1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7108-482F-406E-B8F3-DB90BBB3E186}">
  <sheetPr>
    <tabColor rgb="FF3E5641"/>
  </sheetPr>
  <dimension ref="A2:I36"/>
  <sheetViews>
    <sheetView showGridLines="0" tabSelected="1" workbookViewId="0">
      <selection activeCell="B7" sqref="B7:C8"/>
    </sheetView>
  </sheetViews>
  <sheetFormatPr baseColWidth="10" defaultRowHeight="14.4" x14ac:dyDescent="0.3"/>
  <cols>
    <col min="1" max="1" width="3.33203125" style="9" customWidth="1"/>
    <col min="2" max="2" width="27.77734375" style="9" customWidth="1"/>
    <col min="3" max="9" width="17.5546875" style="9" customWidth="1"/>
  </cols>
  <sheetData>
    <row r="2" spans="2:9" ht="28.8" x14ac:dyDescent="0.3">
      <c r="B2" s="53" t="s">
        <v>185</v>
      </c>
    </row>
    <row r="3" spans="2:9" x14ac:dyDescent="0.3">
      <c r="B3" s="54" t="s">
        <v>186</v>
      </c>
    </row>
    <row r="4" spans="2:9" x14ac:dyDescent="0.3">
      <c r="B4" s="55" t="s">
        <v>196</v>
      </c>
    </row>
    <row r="6" spans="2:9" ht="22.05" customHeight="1" x14ac:dyDescent="0.3">
      <c r="B6" s="1" t="s">
        <v>187</v>
      </c>
      <c r="C6" s="56"/>
      <c r="E6" s="1" t="s">
        <v>188</v>
      </c>
      <c r="F6" s="56"/>
      <c r="H6" s="1" t="s">
        <v>189</v>
      </c>
      <c r="I6" s="56"/>
    </row>
    <row r="7" spans="2:9" ht="25.95" customHeight="1" x14ac:dyDescent="0.3">
      <c r="B7" s="2">
        <f>'Stocks Gibier'!N26</f>
        <v>65.634100000000004</v>
      </c>
      <c r="C7" s="56"/>
      <c r="E7" s="2">
        <f>SUM(Production!D63:M63)</f>
        <v>108.28658013</v>
      </c>
      <c r="F7" s="56"/>
      <c r="H7" s="3">
        <f>Paramètres!C7</f>
        <v>7</v>
      </c>
      <c r="I7" s="56"/>
    </row>
    <row r="8" spans="2:9" ht="25.95" customHeight="1" x14ac:dyDescent="0.3">
      <c r="B8" s="56"/>
      <c r="C8" s="56"/>
      <c r="E8" s="56"/>
      <c r="F8" s="56"/>
      <c r="H8" s="56"/>
      <c r="I8" s="56"/>
    </row>
    <row r="10" spans="2:9" ht="22.05" customHeight="1" x14ac:dyDescent="0.3">
      <c r="B10" s="1" t="s">
        <v>190</v>
      </c>
      <c r="C10" s="56"/>
      <c r="E10" s="1" t="s">
        <v>191</v>
      </c>
      <c r="F10" s="56"/>
      <c r="H10" s="1" t="s">
        <v>192</v>
      </c>
      <c r="I10" s="56"/>
    </row>
    <row r="11" spans="2:9" ht="25.95" customHeight="1" x14ac:dyDescent="0.3">
      <c r="B11" s="4">
        <f>'Budget &amp; Comptes'!C5</f>
        <v>345.77200414000004</v>
      </c>
      <c r="C11" s="56"/>
      <c r="E11" s="5">
        <f>'Budget &amp; Comptes'!C7</f>
        <v>49.396000591428574</v>
      </c>
      <c r="F11" s="56"/>
      <c r="H11" s="6">
        <f>SUM(Production!K68:K77)</f>
        <v>343</v>
      </c>
      <c r="I11" s="56"/>
    </row>
    <row r="12" spans="2:9" ht="25.95" customHeight="1" x14ac:dyDescent="0.3">
      <c r="B12" s="56"/>
      <c r="C12" s="56"/>
      <c r="E12" s="56"/>
      <c r="F12" s="56"/>
      <c r="H12" s="56"/>
      <c r="I12" s="56"/>
    </row>
    <row r="15" spans="2:9" x14ac:dyDescent="0.3">
      <c r="B15" s="32" t="s">
        <v>193</v>
      </c>
    </row>
    <row r="16" spans="2:9" x14ac:dyDescent="0.3">
      <c r="B16" s="57" t="s">
        <v>139</v>
      </c>
      <c r="C16" s="57" t="s">
        <v>194</v>
      </c>
      <c r="D16" s="57" t="s">
        <v>155</v>
      </c>
    </row>
    <row r="17" spans="2:4" x14ac:dyDescent="0.3">
      <c r="B17" s="16" t="str">
        <f>Production!D5</f>
        <v>Pâté de lièvre</v>
      </c>
      <c r="C17" s="58">
        <f>Production!D63</f>
        <v>10.482748640000002</v>
      </c>
      <c r="D17" s="59">
        <f>'Budget &amp; Comptes'!C11</f>
        <v>26.130737920000005</v>
      </c>
    </row>
    <row r="18" spans="2:4" x14ac:dyDescent="0.3">
      <c r="B18" s="19" t="str">
        <f>Production!E5</f>
        <v>Pâté de chevreuil</v>
      </c>
      <c r="C18" s="60">
        <f>Production!E63</f>
        <v>25.610578800000003</v>
      </c>
      <c r="D18" s="61">
        <f>'Budget &amp; Comptes'!C12</f>
        <v>73.2390264</v>
      </c>
    </row>
    <row r="19" spans="2:4" x14ac:dyDescent="0.3">
      <c r="B19" s="16" t="str">
        <f>Production!F5</f>
        <v>Pâté de sanglier (campagne)</v>
      </c>
      <c r="C19" s="58">
        <f>Production!F63</f>
        <v>0</v>
      </c>
      <c r="D19" s="59">
        <f>'Budget &amp; Comptes'!C13</f>
        <v>0</v>
      </c>
    </row>
    <row r="20" spans="2:4" x14ac:dyDescent="0.3">
      <c r="B20" s="19" t="str">
        <f>Production!G5</f>
        <v>Pâté de faisan</v>
      </c>
      <c r="C20" s="60">
        <f>Production!G63</f>
        <v>22.188944039999996</v>
      </c>
      <c r="D20" s="61">
        <f>'Budget &amp; Comptes'!C14</f>
        <v>101.81728511999999</v>
      </c>
    </row>
    <row r="21" spans="2:4" x14ac:dyDescent="0.3">
      <c r="B21" s="16" t="str">
        <f>Production!H5</f>
        <v>Daube de sanglier</v>
      </c>
      <c r="C21" s="58">
        <f>Production!H63</f>
        <v>0</v>
      </c>
      <c r="D21" s="59">
        <f>'Budget &amp; Comptes'!C15</f>
        <v>0</v>
      </c>
    </row>
    <row r="22" spans="2:4" x14ac:dyDescent="0.3">
      <c r="B22" s="19" t="str">
        <f>Production!I5</f>
        <v>Pâté de foie de sanglier</v>
      </c>
      <c r="C22" s="60">
        <f>Production!I63</f>
        <v>27.760384999999999</v>
      </c>
      <c r="D22" s="61">
        <f>'Budget &amp; Comptes'!C16</f>
        <v>49.625780000000006</v>
      </c>
    </row>
    <row r="23" spans="2:4" x14ac:dyDescent="0.3">
      <c r="B23" s="16" t="str">
        <f>Production!J5</f>
        <v>Pâté de foie de chevreuil</v>
      </c>
      <c r="C23" s="58">
        <f>Production!J63</f>
        <v>0</v>
      </c>
      <c r="D23" s="59">
        <f>'Budget &amp; Comptes'!C17</f>
        <v>0</v>
      </c>
    </row>
    <row r="24" spans="2:4" x14ac:dyDescent="0.3">
      <c r="B24" s="19" t="str">
        <f>Production!K5</f>
        <v>Rillette de perdreaux</v>
      </c>
      <c r="C24" s="60">
        <f>Production!K63</f>
        <v>0</v>
      </c>
      <c r="D24" s="61">
        <f>'Budget &amp; Comptes'!C18</f>
        <v>0</v>
      </c>
    </row>
    <row r="25" spans="2:4" x14ac:dyDescent="0.3">
      <c r="B25" s="16" t="str">
        <f>Production!L5</f>
        <v>Rillette de lièvre</v>
      </c>
      <c r="C25" s="58">
        <f>Production!L63</f>
        <v>0</v>
      </c>
      <c r="D25" s="59">
        <f>'Budget &amp; Comptes'!C19</f>
        <v>0</v>
      </c>
    </row>
    <row r="26" spans="2:4" x14ac:dyDescent="0.3">
      <c r="B26" s="19" t="str">
        <f>Production!M5</f>
        <v>Civet de chevreuil</v>
      </c>
      <c r="C26" s="60">
        <f>Production!M63</f>
        <v>22.243923649999996</v>
      </c>
      <c r="D26" s="61">
        <f>'Budget &amp; Comptes'!C20</f>
        <v>94.959174699999991</v>
      </c>
    </row>
    <row r="27" spans="2:4" x14ac:dyDescent="0.3">
      <c r="B27" s="29" t="s">
        <v>5</v>
      </c>
      <c r="C27" s="62">
        <f>SUM(C17:C26)</f>
        <v>108.28658013</v>
      </c>
      <c r="D27" s="63">
        <f>SUM(D17:D26)</f>
        <v>345.77200414000004</v>
      </c>
    </row>
    <row r="29" spans="2:4" x14ac:dyDescent="0.3">
      <c r="B29" s="32" t="s">
        <v>197</v>
      </c>
    </row>
    <row r="30" spans="2:4" x14ac:dyDescent="0.3">
      <c r="B30" s="64" t="s">
        <v>198</v>
      </c>
    </row>
    <row r="31" spans="2:4" x14ac:dyDescent="0.3">
      <c r="B31" s="64" t="s">
        <v>199</v>
      </c>
    </row>
    <row r="32" spans="2:4" x14ac:dyDescent="0.3">
      <c r="B32" s="64" t="s">
        <v>200</v>
      </c>
    </row>
    <row r="33" spans="2:2" x14ac:dyDescent="0.3">
      <c r="B33" s="64" t="s">
        <v>201</v>
      </c>
    </row>
    <row r="34" spans="2:2" x14ac:dyDescent="0.3">
      <c r="B34" s="64" t="s">
        <v>202</v>
      </c>
    </row>
    <row r="35" spans="2:2" x14ac:dyDescent="0.3">
      <c r="B35" s="64" t="s">
        <v>203</v>
      </c>
    </row>
    <row r="36" spans="2:2" x14ac:dyDescent="0.3">
      <c r="B36" s="65" t="s">
        <v>204</v>
      </c>
    </row>
  </sheetData>
  <mergeCells count="12">
    <mergeCell ref="B10:C10"/>
    <mergeCell ref="B11:C12"/>
    <mergeCell ref="E10:F10"/>
    <mergeCell ref="E11:F12"/>
    <mergeCell ref="H10:I10"/>
    <mergeCell ref="H11:I12"/>
    <mergeCell ref="B6:C6"/>
    <mergeCell ref="B7:C8"/>
    <mergeCell ref="E6:F6"/>
    <mergeCell ref="E7:F8"/>
    <mergeCell ref="H6:I6"/>
    <mergeCell ref="H7:I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0D22-153D-4FBB-B60A-2DA25FC6552A}">
  <sheetPr>
    <tabColor rgb="FF7A5C3E"/>
  </sheetPr>
  <dimension ref="A2:J64"/>
  <sheetViews>
    <sheetView showGridLines="0" workbookViewId="0">
      <selection activeCell="D7" sqref="D7"/>
    </sheetView>
  </sheetViews>
  <sheetFormatPr baseColWidth="10" defaultRowHeight="14.4" x14ac:dyDescent="0.3"/>
  <cols>
    <col min="1" max="1" width="11.5546875" style="9"/>
    <col min="2" max="2" width="33.33203125" style="9" customWidth="1"/>
    <col min="3" max="3" width="5.44140625" style="9" customWidth="1"/>
    <col min="4" max="4" width="12" style="9" customWidth="1"/>
    <col min="5" max="5" width="13" style="9" customWidth="1"/>
    <col min="6" max="6" width="3.6640625" style="9" customWidth="1"/>
    <col min="7" max="7" width="16.6640625" style="9" customWidth="1"/>
    <col min="8" max="9" width="17.5546875" style="9" customWidth="1"/>
    <col min="10" max="10" width="11.5546875" style="9"/>
  </cols>
  <sheetData>
    <row r="2" spans="2:9" ht="21" x14ac:dyDescent="0.3">
      <c r="B2" s="11" t="s">
        <v>78</v>
      </c>
    </row>
    <row r="3" spans="2:9" x14ac:dyDescent="0.3">
      <c r="B3" s="14" t="s">
        <v>205</v>
      </c>
    </row>
    <row r="4" spans="2:9" x14ac:dyDescent="0.3">
      <c r="B4" s="32" t="s">
        <v>79</v>
      </c>
    </row>
    <row r="5" spans="2:9" x14ac:dyDescent="0.3">
      <c r="B5" s="33" t="s">
        <v>80</v>
      </c>
      <c r="C5" s="34" t="s">
        <v>81</v>
      </c>
    </row>
    <row r="6" spans="2:9" x14ac:dyDescent="0.3">
      <c r="B6" s="33" t="s">
        <v>82</v>
      </c>
      <c r="C6" s="34">
        <v>2026</v>
      </c>
    </row>
    <row r="7" spans="2:9" x14ac:dyDescent="0.3">
      <c r="B7" s="33" t="s">
        <v>83</v>
      </c>
      <c r="C7" s="34">
        <v>7</v>
      </c>
    </row>
    <row r="9" spans="2:9" x14ac:dyDescent="0.3">
      <c r="B9" s="32" t="s">
        <v>84</v>
      </c>
      <c r="G9" s="32" t="s">
        <v>97</v>
      </c>
    </row>
    <row r="10" spans="2:9" x14ac:dyDescent="0.3">
      <c r="B10" s="35" t="s">
        <v>85</v>
      </c>
      <c r="C10" s="36" t="s">
        <v>86</v>
      </c>
      <c r="D10" s="36" t="s">
        <v>87</v>
      </c>
      <c r="E10" s="37" t="s">
        <v>88</v>
      </c>
      <c r="G10" s="35" t="s">
        <v>98</v>
      </c>
      <c r="H10" s="36" t="s">
        <v>99</v>
      </c>
      <c r="I10" s="37" t="s">
        <v>100</v>
      </c>
    </row>
    <row r="11" spans="2:9" x14ac:dyDescent="0.3">
      <c r="B11" s="38" t="s">
        <v>25</v>
      </c>
      <c r="C11" s="16" t="s">
        <v>16</v>
      </c>
      <c r="D11" s="39"/>
      <c r="E11" s="40" t="s">
        <v>89</v>
      </c>
      <c r="G11" s="38">
        <v>125</v>
      </c>
      <c r="H11" s="41">
        <v>110</v>
      </c>
      <c r="I11" s="40">
        <f>H11/1000</f>
        <v>0.11</v>
      </c>
    </row>
    <row r="12" spans="2:9" x14ac:dyDescent="0.3">
      <c r="B12" s="42" t="s">
        <v>90</v>
      </c>
      <c r="C12" s="19" t="s">
        <v>16</v>
      </c>
      <c r="D12" s="43"/>
      <c r="E12" s="44" t="s">
        <v>89</v>
      </c>
      <c r="G12" s="42">
        <v>200</v>
      </c>
      <c r="H12" s="45">
        <v>180</v>
      </c>
      <c r="I12" s="44">
        <f>H12/1000</f>
        <v>0.18</v>
      </c>
    </row>
    <row r="13" spans="2:9" x14ac:dyDescent="0.3">
      <c r="B13" s="38" t="s">
        <v>73</v>
      </c>
      <c r="C13" s="16" t="s">
        <v>16</v>
      </c>
      <c r="D13" s="39"/>
      <c r="E13" s="40" t="s">
        <v>89</v>
      </c>
      <c r="G13" s="38">
        <v>350</v>
      </c>
      <c r="H13" s="41">
        <v>315</v>
      </c>
      <c r="I13" s="40">
        <f>H13/1000</f>
        <v>0.315</v>
      </c>
    </row>
    <row r="14" spans="2:9" x14ac:dyDescent="0.3">
      <c r="B14" s="42" t="s">
        <v>26</v>
      </c>
      <c r="C14" s="19" t="s">
        <v>16</v>
      </c>
      <c r="D14" s="43"/>
      <c r="E14" s="44" t="s">
        <v>89</v>
      </c>
      <c r="G14" s="42">
        <v>500</v>
      </c>
      <c r="H14" s="45">
        <v>450</v>
      </c>
      <c r="I14" s="44">
        <f>H14/1000</f>
        <v>0.45</v>
      </c>
    </row>
    <row r="15" spans="2:9" x14ac:dyDescent="0.3">
      <c r="B15" s="38" t="s">
        <v>27</v>
      </c>
      <c r="C15" s="16" t="s">
        <v>16</v>
      </c>
      <c r="D15" s="39"/>
      <c r="E15" s="40" t="s">
        <v>89</v>
      </c>
      <c r="G15" s="38">
        <v>750</v>
      </c>
      <c r="H15" s="41">
        <v>675</v>
      </c>
      <c r="I15" s="40">
        <f>H15/1000</f>
        <v>0.67500000000000004</v>
      </c>
    </row>
    <row r="16" spans="2:9" x14ac:dyDescent="0.3">
      <c r="B16" s="42" t="s">
        <v>91</v>
      </c>
      <c r="C16" s="19" t="s">
        <v>16</v>
      </c>
      <c r="D16" s="43"/>
      <c r="E16" s="44" t="s">
        <v>89</v>
      </c>
      <c r="G16" s="42">
        <v>1000</v>
      </c>
      <c r="H16" s="45">
        <v>900</v>
      </c>
      <c r="I16" s="44">
        <f>H16/1000</f>
        <v>0.9</v>
      </c>
    </row>
    <row r="17" spans="2:9" x14ac:dyDescent="0.3">
      <c r="B17" s="38" t="s">
        <v>28</v>
      </c>
      <c r="C17" s="16" t="s">
        <v>16</v>
      </c>
      <c r="D17" s="39"/>
      <c r="E17" s="40" t="s">
        <v>89</v>
      </c>
      <c r="G17" s="46">
        <v>1500</v>
      </c>
      <c r="H17" s="47">
        <v>1350</v>
      </c>
      <c r="I17" s="48">
        <f>H17/1000</f>
        <v>1.35</v>
      </c>
    </row>
    <row r="18" spans="2:9" x14ac:dyDescent="0.3">
      <c r="B18" s="42" t="s">
        <v>19</v>
      </c>
      <c r="C18" s="19" t="s">
        <v>16</v>
      </c>
      <c r="D18" s="43"/>
      <c r="E18" s="44" t="s">
        <v>89</v>
      </c>
    </row>
    <row r="19" spans="2:9" x14ac:dyDescent="0.3">
      <c r="B19" s="38" t="s">
        <v>29</v>
      </c>
      <c r="C19" s="16" t="s">
        <v>16</v>
      </c>
      <c r="D19" s="39"/>
      <c r="E19" s="40" t="s">
        <v>89</v>
      </c>
    </row>
    <row r="20" spans="2:9" x14ac:dyDescent="0.3">
      <c r="B20" s="42" t="s">
        <v>30</v>
      </c>
      <c r="C20" s="19" t="s">
        <v>16</v>
      </c>
      <c r="D20" s="43"/>
      <c r="E20" s="44" t="s">
        <v>89</v>
      </c>
    </row>
    <row r="21" spans="2:9" x14ac:dyDescent="0.3">
      <c r="B21" s="38" t="s">
        <v>31</v>
      </c>
      <c r="C21" s="16" t="s">
        <v>16</v>
      </c>
      <c r="D21" s="39"/>
      <c r="E21" s="40" t="s">
        <v>89</v>
      </c>
    </row>
    <row r="22" spans="2:9" x14ac:dyDescent="0.3">
      <c r="B22" s="42" t="s">
        <v>92</v>
      </c>
      <c r="C22" s="19" t="s">
        <v>16</v>
      </c>
      <c r="D22" s="43"/>
      <c r="E22" s="44" t="s">
        <v>89</v>
      </c>
    </row>
    <row r="23" spans="2:9" x14ac:dyDescent="0.3">
      <c r="B23" s="38" t="s">
        <v>32</v>
      </c>
      <c r="C23" s="16" t="s">
        <v>16</v>
      </c>
      <c r="D23" s="39">
        <v>3.2</v>
      </c>
      <c r="E23" s="40" t="s">
        <v>93</v>
      </c>
    </row>
    <row r="24" spans="2:9" x14ac:dyDescent="0.3">
      <c r="B24" s="42" t="s">
        <v>77</v>
      </c>
      <c r="C24" s="19" t="s">
        <v>16</v>
      </c>
      <c r="D24" s="43">
        <v>8</v>
      </c>
      <c r="E24" s="44" t="s">
        <v>93</v>
      </c>
    </row>
    <row r="25" spans="2:9" x14ac:dyDescent="0.3">
      <c r="B25" s="38" t="s">
        <v>75</v>
      </c>
      <c r="C25" s="16" t="s">
        <v>16</v>
      </c>
      <c r="D25" s="39">
        <v>12</v>
      </c>
      <c r="E25" s="40" t="s">
        <v>93</v>
      </c>
    </row>
    <row r="26" spans="2:9" x14ac:dyDescent="0.3">
      <c r="B26" s="42" t="s">
        <v>74</v>
      </c>
      <c r="C26" s="19" t="s">
        <v>16</v>
      </c>
      <c r="D26" s="43">
        <v>8</v>
      </c>
      <c r="E26" s="44" t="s">
        <v>93</v>
      </c>
    </row>
    <row r="27" spans="2:9" x14ac:dyDescent="0.3">
      <c r="B27" s="38" t="s">
        <v>20</v>
      </c>
      <c r="C27" s="16" t="s">
        <v>16</v>
      </c>
      <c r="D27" s="39">
        <v>12.5</v>
      </c>
      <c r="E27" s="40" t="s">
        <v>93</v>
      </c>
    </row>
    <row r="28" spans="2:9" x14ac:dyDescent="0.3">
      <c r="B28" s="42" t="s">
        <v>33</v>
      </c>
      <c r="C28" s="19" t="s">
        <v>16</v>
      </c>
      <c r="D28" s="43">
        <v>10</v>
      </c>
      <c r="E28" s="44" t="s">
        <v>93</v>
      </c>
    </row>
    <row r="29" spans="2:9" x14ac:dyDescent="0.3">
      <c r="B29" s="38" t="s">
        <v>6</v>
      </c>
      <c r="C29" s="16" t="s">
        <v>59</v>
      </c>
      <c r="D29" s="39">
        <v>20</v>
      </c>
      <c r="E29" s="40" t="s">
        <v>93</v>
      </c>
    </row>
    <row r="30" spans="2:9" x14ac:dyDescent="0.3">
      <c r="B30" s="42" t="s">
        <v>72</v>
      </c>
      <c r="C30" s="19" t="s">
        <v>16</v>
      </c>
      <c r="D30" s="43">
        <v>16</v>
      </c>
      <c r="E30" s="44" t="s">
        <v>93</v>
      </c>
    </row>
    <row r="31" spans="2:9" x14ac:dyDescent="0.3">
      <c r="B31" s="38" t="s">
        <v>69</v>
      </c>
      <c r="C31" s="16" t="s">
        <v>16</v>
      </c>
      <c r="D31" s="39">
        <v>15</v>
      </c>
      <c r="E31" s="40" t="s">
        <v>93</v>
      </c>
    </row>
    <row r="32" spans="2:9" x14ac:dyDescent="0.3">
      <c r="B32" s="42" t="s">
        <v>55</v>
      </c>
      <c r="C32" s="19" t="s">
        <v>16</v>
      </c>
      <c r="D32" s="43">
        <v>6</v>
      </c>
      <c r="E32" s="44" t="s">
        <v>93</v>
      </c>
    </row>
    <row r="33" spans="2:5" x14ac:dyDescent="0.3">
      <c r="B33" s="38" t="s">
        <v>61</v>
      </c>
      <c r="C33" s="16" t="s">
        <v>16</v>
      </c>
      <c r="D33" s="39">
        <v>1.2</v>
      </c>
      <c r="E33" s="40" t="s">
        <v>93</v>
      </c>
    </row>
    <row r="34" spans="2:5" x14ac:dyDescent="0.3">
      <c r="B34" s="42" t="s">
        <v>8</v>
      </c>
      <c r="C34" s="19" t="s">
        <v>16</v>
      </c>
      <c r="D34" s="43">
        <v>30</v>
      </c>
      <c r="E34" s="44" t="s">
        <v>93</v>
      </c>
    </row>
    <row r="35" spans="2:5" x14ac:dyDescent="0.3">
      <c r="B35" s="38" t="s">
        <v>9</v>
      </c>
      <c r="C35" s="16" t="s">
        <v>16</v>
      </c>
      <c r="D35" s="39">
        <v>2</v>
      </c>
      <c r="E35" s="40" t="s">
        <v>93</v>
      </c>
    </row>
    <row r="36" spans="2:5" x14ac:dyDescent="0.3">
      <c r="B36" s="42" t="s">
        <v>34</v>
      </c>
      <c r="C36" s="19" t="s">
        <v>18</v>
      </c>
      <c r="D36" s="43">
        <v>20</v>
      </c>
      <c r="E36" s="44" t="s">
        <v>93</v>
      </c>
    </row>
    <row r="37" spans="2:5" x14ac:dyDescent="0.3">
      <c r="B37" s="38" t="s">
        <v>35</v>
      </c>
      <c r="C37" s="16" t="s">
        <v>18</v>
      </c>
      <c r="D37" s="39">
        <v>50</v>
      </c>
      <c r="E37" s="40" t="s">
        <v>93</v>
      </c>
    </row>
    <row r="38" spans="2:5" x14ac:dyDescent="0.3">
      <c r="B38" s="42" t="s">
        <v>40</v>
      </c>
      <c r="C38" s="19" t="s">
        <v>17</v>
      </c>
      <c r="D38" s="43">
        <v>20</v>
      </c>
      <c r="E38" s="44" t="s">
        <v>93</v>
      </c>
    </row>
    <row r="39" spans="2:5" x14ac:dyDescent="0.3">
      <c r="B39" s="38" t="s">
        <v>52</v>
      </c>
      <c r="C39" s="16" t="s">
        <v>22</v>
      </c>
      <c r="D39" s="39">
        <v>8</v>
      </c>
      <c r="E39" s="40" t="s">
        <v>93</v>
      </c>
    </row>
    <row r="40" spans="2:5" x14ac:dyDescent="0.3">
      <c r="B40" s="42" t="s">
        <v>94</v>
      </c>
      <c r="C40" s="19" t="s">
        <v>22</v>
      </c>
      <c r="D40" s="43">
        <v>4</v>
      </c>
      <c r="E40" s="44" t="s">
        <v>93</v>
      </c>
    </row>
    <row r="41" spans="2:5" x14ac:dyDescent="0.3">
      <c r="B41" s="38" t="s">
        <v>57</v>
      </c>
      <c r="C41" s="16" t="s">
        <v>56</v>
      </c>
      <c r="D41" s="39">
        <v>0.02</v>
      </c>
      <c r="E41" s="40" t="s">
        <v>93</v>
      </c>
    </row>
    <row r="42" spans="2:5" x14ac:dyDescent="0.3">
      <c r="B42" s="42" t="s">
        <v>36</v>
      </c>
      <c r="C42" s="19" t="s">
        <v>17</v>
      </c>
      <c r="D42" s="43">
        <v>0.3</v>
      </c>
      <c r="E42" s="44" t="s">
        <v>93</v>
      </c>
    </row>
    <row r="43" spans="2:5" x14ac:dyDescent="0.3">
      <c r="B43" s="38" t="s">
        <v>54</v>
      </c>
      <c r="C43" s="16" t="s">
        <v>16</v>
      </c>
      <c r="D43" s="39">
        <v>3.5</v>
      </c>
      <c r="E43" s="40" t="s">
        <v>93</v>
      </c>
    </row>
    <row r="44" spans="2:5" x14ac:dyDescent="0.3">
      <c r="B44" s="42" t="s">
        <v>66</v>
      </c>
      <c r="C44" s="19" t="s">
        <v>67</v>
      </c>
      <c r="D44" s="43"/>
      <c r="E44" s="44" t="s">
        <v>93</v>
      </c>
    </row>
    <row r="45" spans="2:5" x14ac:dyDescent="0.3">
      <c r="B45" s="38" t="s">
        <v>76</v>
      </c>
      <c r="C45" s="16"/>
      <c r="D45" s="39"/>
      <c r="E45" s="40" t="s">
        <v>93</v>
      </c>
    </row>
    <row r="46" spans="2:5" x14ac:dyDescent="0.3">
      <c r="B46" s="42" t="s">
        <v>68</v>
      </c>
      <c r="C46" s="19" t="s">
        <v>65</v>
      </c>
      <c r="D46" s="43">
        <v>30</v>
      </c>
      <c r="E46" s="44" t="s">
        <v>93</v>
      </c>
    </row>
    <row r="47" spans="2:5" x14ac:dyDescent="0.3">
      <c r="B47" s="38" t="s">
        <v>37</v>
      </c>
      <c r="C47" s="16" t="s">
        <v>46</v>
      </c>
      <c r="D47" s="39">
        <v>0.5</v>
      </c>
      <c r="E47" s="40" t="s">
        <v>93</v>
      </c>
    </row>
    <row r="48" spans="2:5" x14ac:dyDescent="0.3">
      <c r="B48" s="42" t="s">
        <v>38</v>
      </c>
      <c r="C48" s="19" t="s">
        <v>16</v>
      </c>
      <c r="D48" s="43">
        <v>3</v>
      </c>
      <c r="E48" s="44" t="s">
        <v>93</v>
      </c>
    </row>
    <row r="49" spans="2:5" x14ac:dyDescent="0.3">
      <c r="B49" s="38" t="s">
        <v>39</v>
      </c>
      <c r="C49" s="16" t="s">
        <v>16</v>
      </c>
      <c r="D49" s="39">
        <v>4.5</v>
      </c>
      <c r="E49" s="40" t="s">
        <v>93</v>
      </c>
    </row>
    <row r="50" spans="2:5" x14ac:dyDescent="0.3">
      <c r="B50" s="42" t="s">
        <v>51</v>
      </c>
      <c r="C50" s="19" t="s">
        <v>16</v>
      </c>
      <c r="D50" s="43">
        <v>20</v>
      </c>
      <c r="E50" s="44" t="s">
        <v>93</v>
      </c>
    </row>
    <row r="51" spans="2:5" x14ac:dyDescent="0.3">
      <c r="B51" s="38" t="s">
        <v>48</v>
      </c>
      <c r="C51" s="16" t="s">
        <v>16</v>
      </c>
      <c r="D51" s="39">
        <v>3</v>
      </c>
      <c r="E51" s="40" t="s">
        <v>93</v>
      </c>
    </row>
    <row r="52" spans="2:5" x14ac:dyDescent="0.3">
      <c r="B52" s="42" t="s">
        <v>41</v>
      </c>
      <c r="C52" s="19" t="s">
        <v>17</v>
      </c>
      <c r="D52" s="43">
        <v>0.3</v>
      </c>
      <c r="E52" s="44" t="s">
        <v>93</v>
      </c>
    </row>
    <row r="53" spans="2:5" x14ac:dyDescent="0.3">
      <c r="B53" s="38" t="s">
        <v>42</v>
      </c>
      <c r="C53" s="16" t="s">
        <v>17</v>
      </c>
      <c r="D53" s="39">
        <v>0.5</v>
      </c>
      <c r="E53" s="40" t="s">
        <v>93</v>
      </c>
    </row>
    <row r="54" spans="2:5" x14ac:dyDescent="0.3">
      <c r="B54" s="42" t="s">
        <v>95</v>
      </c>
      <c r="C54" s="19" t="s">
        <v>17</v>
      </c>
      <c r="D54" s="43">
        <v>0.15</v>
      </c>
      <c r="E54" s="44" t="s">
        <v>93</v>
      </c>
    </row>
    <row r="55" spans="2:5" x14ac:dyDescent="0.3">
      <c r="B55" s="38" t="s">
        <v>53</v>
      </c>
      <c r="C55" s="16" t="s">
        <v>49</v>
      </c>
      <c r="D55" s="39">
        <v>1</v>
      </c>
      <c r="E55" s="40" t="s">
        <v>93</v>
      </c>
    </row>
    <row r="56" spans="2:5" x14ac:dyDescent="0.3">
      <c r="B56" s="42" t="s">
        <v>21</v>
      </c>
      <c r="C56" s="19" t="s">
        <v>16</v>
      </c>
      <c r="D56" s="43">
        <v>0.2</v>
      </c>
      <c r="E56" s="44" t="s">
        <v>93</v>
      </c>
    </row>
    <row r="57" spans="2:5" x14ac:dyDescent="0.3">
      <c r="B57" s="38" t="s">
        <v>50</v>
      </c>
      <c r="C57" s="16" t="s">
        <v>16</v>
      </c>
      <c r="D57" s="39">
        <v>5</v>
      </c>
      <c r="E57" s="40" t="s">
        <v>93</v>
      </c>
    </row>
    <row r="58" spans="2:5" x14ac:dyDescent="0.3">
      <c r="B58" s="42" t="s">
        <v>62</v>
      </c>
      <c r="C58" s="19" t="s">
        <v>46</v>
      </c>
      <c r="D58" s="43">
        <v>0</v>
      </c>
      <c r="E58" s="44" t="s">
        <v>93</v>
      </c>
    </row>
    <row r="59" spans="2:5" x14ac:dyDescent="0.3">
      <c r="B59" s="38" t="s">
        <v>7</v>
      </c>
      <c r="C59" s="16" t="s">
        <v>47</v>
      </c>
      <c r="D59" s="39">
        <v>0</v>
      </c>
      <c r="E59" s="40" t="s">
        <v>93</v>
      </c>
    </row>
    <row r="60" spans="2:5" x14ac:dyDescent="0.3">
      <c r="B60" s="42" t="s">
        <v>43</v>
      </c>
      <c r="C60" s="19" t="s">
        <v>22</v>
      </c>
      <c r="D60" s="43">
        <v>10</v>
      </c>
      <c r="E60" s="44" t="s">
        <v>93</v>
      </c>
    </row>
    <row r="61" spans="2:5" x14ac:dyDescent="0.3">
      <c r="B61" s="38" t="s">
        <v>44</v>
      </c>
      <c r="C61" s="16" t="s">
        <v>22</v>
      </c>
      <c r="D61" s="39">
        <v>10</v>
      </c>
      <c r="E61" s="40" t="s">
        <v>93</v>
      </c>
    </row>
    <row r="62" spans="2:5" x14ac:dyDescent="0.3">
      <c r="B62" s="42" t="s">
        <v>60</v>
      </c>
      <c r="C62" s="19" t="s">
        <v>22</v>
      </c>
      <c r="D62" s="43">
        <v>35</v>
      </c>
      <c r="E62" s="44" t="s">
        <v>93</v>
      </c>
    </row>
    <row r="63" spans="2:5" x14ac:dyDescent="0.3">
      <c r="B63" s="38" t="s">
        <v>96</v>
      </c>
      <c r="C63" s="16" t="s">
        <v>22</v>
      </c>
      <c r="D63" s="39">
        <v>45</v>
      </c>
      <c r="E63" s="40" t="s">
        <v>93</v>
      </c>
    </row>
    <row r="64" spans="2:5" x14ac:dyDescent="0.3">
      <c r="B64" s="49" t="s">
        <v>45</v>
      </c>
      <c r="C64" s="50" t="s">
        <v>22</v>
      </c>
      <c r="D64" s="51">
        <v>25</v>
      </c>
      <c r="E64" s="52" t="s">
        <v>93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96F9-8BD3-4EB8-AC89-39C123432947}">
  <sheetPr>
    <tabColor rgb="FF6B8E4E"/>
  </sheetPr>
  <dimension ref="A2:N26"/>
  <sheetViews>
    <sheetView showGridLines="0" topLeftCell="A4" workbookViewId="0">
      <selection activeCell="C7" sqref="C7"/>
    </sheetView>
  </sheetViews>
  <sheetFormatPr baseColWidth="10" defaultRowHeight="14.4" x14ac:dyDescent="0.3"/>
  <cols>
    <col min="1" max="1" width="11.5546875" style="9"/>
    <col min="2" max="2" width="31.44140625" style="9" customWidth="1"/>
    <col min="3" max="11" width="10.77734375" style="9" customWidth="1"/>
    <col min="12" max="12" width="14.77734375" style="9" customWidth="1"/>
    <col min="13" max="13" width="13" style="9" customWidth="1"/>
    <col min="14" max="14" width="13.88671875" style="9" customWidth="1"/>
  </cols>
  <sheetData>
    <row r="2" spans="2:14" ht="21" x14ac:dyDescent="0.3">
      <c r="B2" s="11" t="s">
        <v>101</v>
      </c>
    </row>
    <row r="3" spans="2:14" x14ac:dyDescent="0.3">
      <c r="B3" s="14" t="s">
        <v>206</v>
      </c>
    </row>
    <row r="4" spans="2:14" x14ac:dyDescent="0.3">
      <c r="B4" s="15" t="s">
        <v>102</v>
      </c>
    </row>
    <row r="6" spans="2:14" ht="21.6" customHeight="1" x14ac:dyDescent="0.3">
      <c r="B6" s="7" t="s">
        <v>103</v>
      </c>
      <c r="C6" s="8" t="s">
        <v>0</v>
      </c>
      <c r="D6" s="8" t="s">
        <v>1</v>
      </c>
      <c r="E6" s="8" t="s">
        <v>10</v>
      </c>
      <c r="F6" s="8" t="s">
        <v>2</v>
      </c>
      <c r="G6" s="8" t="s">
        <v>23</v>
      </c>
      <c r="H6" s="8" t="s">
        <v>104</v>
      </c>
      <c r="I6" s="8" t="s">
        <v>63</v>
      </c>
      <c r="J6" s="8" t="s">
        <v>105</v>
      </c>
      <c r="K6" s="8" t="s">
        <v>3</v>
      </c>
      <c r="L6" s="8" t="s">
        <v>106</v>
      </c>
      <c r="M6" s="8" t="s">
        <v>107</v>
      </c>
      <c r="N6" s="8" t="s">
        <v>108</v>
      </c>
    </row>
    <row r="7" spans="2:14" x14ac:dyDescent="0.3">
      <c r="B7" s="16" t="s">
        <v>109</v>
      </c>
      <c r="C7" s="21">
        <v>4.33</v>
      </c>
      <c r="D7" s="21">
        <v>4.45</v>
      </c>
      <c r="E7" s="21"/>
      <c r="F7" s="21"/>
      <c r="G7" s="21">
        <v>1.8</v>
      </c>
      <c r="H7" s="21"/>
      <c r="I7" s="21"/>
      <c r="J7" s="21"/>
      <c r="K7" s="21"/>
      <c r="L7" s="22">
        <f>SUM(C7:K7)</f>
        <v>10.580000000000002</v>
      </c>
      <c r="M7" s="23">
        <v>0.56000000000000005</v>
      </c>
      <c r="N7" s="24">
        <f>L7*M7</f>
        <v>5.9248000000000012</v>
      </c>
    </row>
    <row r="8" spans="2:14" x14ac:dyDescent="0.3">
      <c r="B8" s="19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6">
        <f>SUM(C8:K8)</f>
        <v>0</v>
      </c>
      <c r="M8" s="27">
        <v>1</v>
      </c>
      <c r="N8" s="28">
        <f>L8*M8</f>
        <v>0</v>
      </c>
    </row>
    <row r="9" spans="2:14" x14ac:dyDescent="0.3">
      <c r="B9" s="16" t="s">
        <v>110</v>
      </c>
      <c r="C9" s="21"/>
      <c r="D9" s="21"/>
      <c r="E9" s="21"/>
      <c r="F9" s="21"/>
      <c r="G9" s="21"/>
      <c r="H9" s="21"/>
      <c r="I9" s="21"/>
      <c r="J9" s="21"/>
      <c r="K9" s="21"/>
      <c r="L9" s="22">
        <f>SUM(C9:K9)</f>
        <v>0</v>
      </c>
      <c r="M9" s="23">
        <v>1</v>
      </c>
      <c r="N9" s="24">
        <f>L9*M9</f>
        <v>0</v>
      </c>
    </row>
    <row r="10" spans="2:14" x14ac:dyDescent="0.3">
      <c r="B10" s="19" t="s">
        <v>14</v>
      </c>
      <c r="C10" s="25">
        <v>2.63</v>
      </c>
      <c r="D10" s="25">
        <v>4.53</v>
      </c>
      <c r="E10" s="25"/>
      <c r="F10" s="25"/>
      <c r="G10" s="25"/>
      <c r="H10" s="25"/>
      <c r="I10" s="25">
        <v>3.53</v>
      </c>
      <c r="J10" s="25"/>
      <c r="K10" s="25">
        <v>1.78</v>
      </c>
      <c r="L10" s="26">
        <f>SUM(C10:K10)</f>
        <v>12.469999999999999</v>
      </c>
      <c r="M10" s="27">
        <v>0.65</v>
      </c>
      <c r="N10" s="28">
        <f>L10*M10</f>
        <v>8.1054999999999993</v>
      </c>
    </row>
    <row r="11" spans="2:14" x14ac:dyDescent="0.3">
      <c r="B11" s="16" t="s">
        <v>4</v>
      </c>
      <c r="C11" s="21">
        <v>5.3</v>
      </c>
      <c r="D11" s="21">
        <v>2.71</v>
      </c>
      <c r="E11" s="21"/>
      <c r="F11" s="21"/>
      <c r="G11" s="21">
        <v>2.9</v>
      </c>
      <c r="H11" s="21"/>
      <c r="I11" s="21">
        <v>0.97299999999999998</v>
      </c>
      <c r="J11" s="21"/>
      <c r="K11" s="21">
        <v>1.4</v>
      </c>
      <c r="L11" s="22">
        <f>SUM(C11:K11)</f>
        <v>13.283000000000001</v>
      </c>
      <c r="M11" s="23">
        <v>1</v>
      </c>
      <c r="N11" s="24">
        <f>L11*M11</f>
        <v>13.283000000000001</v>
      </c>
    </row>
    <row r="12" spans="2:14" x14ac:dyDescent="0.3">
      <c r="B12" s="19" t="s">
        <v>64</v>
      </c>
      <c r="C12" s="25">
        <v>0.67</v>
      </c>
      <c r="D12" s="25"/>
      <c r="E12" s="25"/>
      <c r="F12" s="25"/>
      <c r="G12" s="25">
        <v>0.7</v>
      </c>
      <c r="H12" s="25"/>
      <c r="I12" s="25"/>
      <c r="J12" s="25"/>
      <c r="K12" s="25"/>
      <c r="L12" s="26">
        <f>SUM(C12:K12)</f>
        <v>1.37</v>
      </c>
      <c r="M12" s="27">
        <v>0.9</v>
      </c>
      <c r="N12" s="28">
        <f>L12*M12</f>
        <v>1.2330000000000001</v>
      </c>
    </row>
    <row r="13" spans="2:14" x14ac:dyDescent="0.3">
      <c r="B13" s="16" t="s">
        <v>111</v>
      </c>
      <c r="C13" s="21"/>
      <c r="D13" s="21">
        <v>2.6</v>
      </c>
      <c r="E13" s="21"/>
      <c r="F13" s="21"/>
      <c r="G13" s="21"/>
      <c r="H13" s="21"/>
      <c r="I13" s="21"/>
      <c r="J13" s="21"/>
      <c r="K13" s="21">
        <v>2.9</v>
      </c>
      <c r="L13" s="22">
        <f>SUM(C13:K13)</f>
        <v>5.5</v>
      </c>
      <c r="M13" s="23">
        <v>0.9</v>
      </c>
      <c r="N13" s="24">
        <f>L13*M13</f>
        <v>4.95</v>
      </c>
    </row>
    <row r="14" spans="2:14" x14ac:dyDescent="0.3">
      <c r="B14" s="19" t="s">
        <v>112</v>
      </c>
      <c r="C14" s="25">
        <v>2.9</v>
      </c>
      <c r="D14" s="25">
        <v>4.8</v>
      </c>
      <c r="E14" s="25"/>
      <c r="F14" s="25"/>
      <c r="G14" s="25"/>
      <c r="H14" s="25"/>
      <c r="I14" s="25"/>
      <c r="J14" s="25"/>
      <c r="K14" s="25">
        <v>5.6</v>
      </c>
      <c r="L14" s="26">
        <f>SUM(C14:K14)</f>
        <v>13.299999999999999</v>
      </c>
      <c r="M14" s="27">
        <v>0.95</v>
      </c>
      <c r="N14" s="28">
        <f>L14*M14</f>
        <v>12.634999999999998</v>
      </c>
    </row>
    <row r="15" spans="2:14" x14ac:dyDescent="0.3">
      <c r="B15" s="16" t="s">
        <v>24</v>
      </c>
      <c r="C15" s="21"/>
      <c r="D15" s="21"/>
      <c r="E15" s="21"/>
      <c r="F15" s="21"/>
      <c r="G15" s="21"/>
      <c r="H15" s="21"/>
      <c r="I15" s="21"/>
      <c r="J15" s="21"/>
      <c r="K15" s="21"/>
      <c r="L15" s="22">
        <f>SUM(C15:K15)</f>
        <v>0</v>
      </c>
      <c r="M15" s="23">
        <v>1</v>
      </c>
      <c r="N15" s="24">
        <f>L15*M15</f>
        <v>0</v>
      </c>
    </row>
    <row r="16" spans="2:14" x14ac:dyDescent="0.3">
      <c r="B16" s="19" t="s">
        <v>113</v>
      </c>
      <c r="C16" s="25"/>
      <c r="D16" s="25"/>
      <c r="E16" s="25"/>
      <c r="F16" s="25"/>
      <c r="G16" s="25"/>
      <c r="H16" s="25"/>
      <c r="I16" s="25"/>
      <c r="J16" s="25"/>
      <c r="K16" s="25">
        <v>2</v>
      </c>
      <c r="L16" s="26">
        <f>SUM(C16:K16)</f>
        <v>2</v>
      </c>
      <c r="M16" s="27">
        <v>1</v>
      </c>
      <c r="N16" s="28">
        <f>L16*M16</f>
        <v>2</v>
      </c>
    </row>
    <row r="17" spans="2:14" x14ac:dyDescent="0.3">
      <c r="B17" s="16" t="s">
        <v>114</v>
      </c>
      <c r="C17" s="21"/>
      <c r="D17" s="21"/>
      <c r="E17" s="21"/>
      <c r="F17" s="21"/>
      <c r="G17" s="21"/>
      <c r="H17" s="21"/>
      <c r="I17" s="21"/>
      <c r="J17" s="21"/>
      <c r="K17" s="21"/>
      <c r="L17" s="22">
        <f>SUM(C17:K17)</f>
        <v>0</v>
      </c>
      <c r="M17" s="23">
        <v>0.8</v>
      </c>
      <c r="N17" s="24">
        <f>L17*M17</f>
        <v>0</v>
      </c>
    </row>
    <row r="18" spans="2:14" x14ac:dyDescent="0.3">
      <c r="B18" s="19" t="s">
        <v>58</v>
      </c>
      <c r="C18" s="25"/>
      <c r="D18" s="25"/>
      <c r="E18" s="25"/>
      <c r="F18" s="25"/>
      <c r="G18" s="25"/>
      <c r="H18" s="25"/>
      <c r="I18" s="25"/>
      <c r="J18" s="25"/>
      <c r="K18" s="25"/>
      <c r="L18" s="26">
        <f>SUM(C18:K18)</f>
        <v>0</v>
      </c>
      <c r="M18" s="27">
        <v>1</v>
      </c>
      <c r="N18" s="28">
        <f>L18*M18</f>
        <v>0</v>
      </c>
    </row>
    <row r="19" spans="2:14" x14ac:dyDescent="0.3">
      <c r="B19" s="16" t="s">
        <v>115</v>
      </c>
      <c r="C19" s="21">
        <v>1.9</v>
      </c>
      <c r="D19" s="21">
        <v>3.84</v>
      </c>
      <c r="E19" s="21"/>
      <c r="F19" s="21"/>
      <c r="G19" s="21">
        <v>5.8</v>
      </c>
      <c r="H19" s="21"/>
      <c r="I19" s="21">
        <v>0.95</v>
      </c>
      <c r="J19" s="21"/>
      <c r="K19" s="21">
        <v>12.4</v>
      </c>
      <c r="L19" s="22">
        <f>SUM(C19:K19)</f>
        <v>24.89</v>
      </c>
      <c r="M19" s="23">
        <v>0.52</v>
      </c>
      <c r="N19" s="24">
        <f>L19*M19</f>
        <v>12.9428</v>
      </c>
    </row>
    <row r="20" spans="2:14" x14ac:dyDescent="0.3">
      <c r="B20" s="19" t="s">
        <v>12</v>
      </c>
      <c r="C20" s="25"/>
      <c r="D20" s="25"/>
      <c r="E20" s="25"/>
      <c r="F20" s="25"/>
      <c r="G20" s="25">
        <v>0.8</v>
      </c>
      <c r="H20" s="25"/>
      <c r="I20" s="25"/>
      <c r="J20" s="25"/>
      <c r="K20" s="25"/>
      <c r="L20" s="26">
        <f>SUM(C20:K20)</f>
        <v>0.8</v>
      </c>
      <c r="M20" s="27">
        <v>0.95</v>
      </c>
      <c r="N20" s="28">
        <f>L20*M20</f>
        <v>0.76</v>
      </c>
    </row>
    <row r="21" spans="2:14" x14ac:dyDescent="0.3">
      <c r="B21" s="16" t="s">
        <v>19</v>
      </c>
      <c r="C21" s="21"/>
      <c r="D21" s="21"/>
      <c r="E21" s="21"/>
      <c r="F21" s="21"/>
      <c r="G21" s="21"/>
      <c r="H21" s="21"/>
      <c r="I21" s="21"/>
      <c r="J21" s="21"/>
      <c r="K21" s="21"/>
      <c r="L21" s="22">
        <f>SUM(C21:K21)</f>
        <v>0</v>
      </c>
      <c r="M21" s="23">
        <v>0.6</v>
      </c>
      <c r="N21" s="24">
        <f>L21*M21</f>
        <v>0</v>
      </c>
    </row>
    <row r="22" spans="2:14" x14ac:dyDescent="0.3">
      <c r="B22" s="19" t="s">
        <v>116</v>
      </c>
      <c r="C22" s="25"/>
      <c r="D22" s="25"/>
      <c r="E22" s="25"/>
      <c r="F22" s="25"/>
      <c r="G22" s="25"/>
      <c r="H22" s="25"/>
      <c r="I22" s="25"/>
      <c r="J22" s="25"/>
      <c r="K22" s="25"/>
      <c r="L22" s="26">
        <f>SUM(C22:K22)</f>
        <v>0</v>
      </c>
      <c r="M22" s="27">
        <v>0.6</v>
      </c>
      <c r="N22" s="28">
        <f>L22*M22</f>
        <v>0</v>
      </c>
    </row>
    <row r="23" spans="2:14" x14ac:dyDescent="0.3">
      <c r="B23" s="16" t="s">
        <v>13</v>
      </c>
      <c r="C23" s="21"/>
      <c r="D23" s="21"/>
      <c r="E23" s="21"/>
      <c r="F23" s="21"/>
      <c r="G23" s="21"/>
      <c r="H23" s="21"/>
      <c r="I23" s="21"/>
      <c r="J23" s="21"/>
      <c r="K23" s="21"/>
      <c r="L23" s="22">
        <f>SUM(C23:K23)</f>
        <v>0</v>
      </c>
      <c r="M23" s="23">
        <v>1</v>
      </c>
      <c r="N23" s="24">
        <f>L23*M23</f>
        <v>0</v>
      </c>
    </row>
    <row r="24" spans="2:14" x14ac:dyDescent="0.3">
      <c r="B24" s="19" t="s">
        <v>117</v>
      </c>
      <c r="C24" s="25"/>
      <c r="D24" s="25">
        <v>1.25</v>
      </c>
      <c r="E24" s="25"/>
      <c r="F24" s="25"/>
      <c r="G24" s="25">
        <v>2.5</v>
      </c>
      <c r="H24" s="25"/>
      <c r="I24" s="25">
        <v>0.75</v>
      </c>
      <c r="J24" s="25"/>
      <c r="K24" s="25">
        <v>1.5</v>
      </c>
      <c r="L24" s="26">
        <f>SUM(C24:K24)</f>
        <v>6</v>
      </c>
      <c r="M24" s="27">
        <v>0.5</v>
      </c>
      <c r="N24" s="28">
        <f>L24*M24</f>
        <v>3</v>
      </c>
    </row>
    <row r="25" spans="2:14" x14ac:dyDescent="0.3">
      <c r="B25" s="16" t="s">
        <v>15</v>
      </c>
      <c r="C25" s="21"/>
      <c r="D25" s="21"/>
      <c r="E25" s="21"/>
      <c r="F25" s="21"/>
      <c r="G25" s="21">
        <v>1.6</v>
      </c>
      <c r="H25" s="21"/>
      <c r="I25" s="21"/>
      <c r="J25" s="21"/>
      <c r="K25" s="21"/>
      <c r="L25" s="22">
        <f>SUM(C25:K25)</f>
        <v>1.6</v>
      </c>
      <c r="M25" s="23">
        <v>0.5</v>
      </c>
      <c r="N25" s="24">
        <f>L25*M25</f>
        <v>0.8</v>
      </c>
    </row>
    <row r="26" spans="2:14" x14ac:dyDescent="0.3">
      <c r="B26" s="29" t="s">
        <v>5</v>
      </c>
      <c r="C26" s="30">
        <f>SUM(C7:C25)</f>
        <v>17.73</v>
      </c>
      <c r="D26" s="30">
        <f>SUM(D7:D25)</f>
        <v>24.18</v>
      </c>
      <c r="E26" s="30">
        <f>SUM(E7:E25)</f>
        <v>0</v>
      </c>
      <c r="F26" s="30">
        <f>SUM(F7:F25)</f>
        <v>0</v>
      </c>
      <c r="G26" s="30">
        <f>SUM(G7:G25)</f>
        <v>16.100000000000001</v>
      </c>
      <c r="H26" s="30">
        <f>SUM(H7:H25)</f>
        <v>0</v>
      </c>
      <c r="I26" s="30">
        <f>SUM(I7:I25)</f>
        <v>6.2030000000000003</v>
      </c>
      <c r="J26" s="30">
        <f>SUM(J7:J25)</f>
        <v>0</v>
      </c>
      <c r="K26" s="30">
        <f>SUM(K7:K25)</f>
        <v>27.58</v>
      </c>
      <c r="L26" s="30">
        <f>SUM(L7:L25)</f>
        <v>91.792999999999992</v>
      </c>
      <c r="M26" s="29"/>
      <c r="N26" s="31">
        <f>SUM(N7:N25)</f>
        <v>65.634100000000004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CB95-B8A1-4FAF-BC50-D5FAEA9A5E54}">
  <sheetPr>
    <tabColor rgb="FF6B8E4E"/>
  </sheetPr>
  <dimension ref="A2:P60"/>
  <sheetViews>
    <sheetView showGridLines="0" workbookViewId="0">
      <selection activeCell="P2" sqref="P2"/>
    </sheetView>
  </sheetViews>
  <sheetFormatPr baseColWidth="10" defaultRowHeight="14.4" x14ac:dyDescent="0.3"/>
  <cols>
    <col min="1" max="1" width="11.5546875" style="9"/>
    <col min="2" max="2" width="32.44140625" style="9" customWidth="1"/>
    <col min="3" max="3" width="8.88671875" style="9" customWidth="1"/>
    <col min="4" max="13" width="12.21875" style="9" customWidth="1"/>
    <col min="14" max="14" width="11.5546875" style="9"/>
    <col min="15" max="15" width="20.33203125" style="9" customWidth="1"/>
    <col min="16" max="16" width="25" style="9" bestFit="1" customWidth="1"/>
  </cols>
  <sheetData>
    <row r="2" spans="2:16" ht="21" x14ac:dyDescent="0.3">
      <c r="B2" s="11" t="s">
        <v>118</v>
      </c>
      <c r="O2" s="12" t="s">
        <v>130</v>
      </c>
      <c r="P2" s="13" t="s">
        <v>122</v>
      </c>
    </row>
    <row r="3" spans="2:16" x14ac:dyDescent="0.3">
      <c r="B3" s="14" t="s">
        <v>207</v>
      </c>
    </row>
    <row r="4" spans="2:16" x14ac:dyDescent="0.3">
      <c r="B4" s="15" t="s">
        <v>119</v>
      </c>
    </row>
    <row r="6" spans="2:16" s="9" customFormat="1" ht="43.2" x14ac:dyDescent="0.3">
      <c r="B6" s="7" t="s">
        <v>85</v>
      </c>
      <c r="C6" s="8" t="s">
        <v>86</v>
      </c>
      <c r="D6" s="8" t="s">
        <v>120</v>
      </c>
      <c r="E6" s="8" t="s">
        <v>121</v>
      </c>
      <c r="F6" s="8" t="s">
        <v>122</v>
      </c>
      <c r="G6" s="8" t="s">
        <v>123</v>
      </c>
      <c r="H6" s="8" t="s">
        <v>124</v>
      </c>
      <c r="I6" s="8" t="s">
        <v>125</v>
      </c>
      <c r="J6" s="8" t="s">
        <v>126</v>
      </c>
      <c r="K6" s="8" t="s">
        <v>127</v>
      </c>
      <c r="L6" s="8" t="s">
        <v>128</v>
      </c>
      <c r="M6" s="8" t="s">
        <v>129</v>
      </c>
      <c r="O6" s="10" t="s">
        <v>131</v>
      </c>
    </row>
    <row r="7" spans="2:16" x14ac:dyDescent="0.3">
      <c r="B7" s="16" t="s">
        <v>25</v>
      </c>
      <c r="C7" s="16" t="s">
        <v>16</v>
      </c>
      <c r="D7" s="17">
        <v>1</v>
      </c>
      <c r="E7" s="17"/>
      <c r="F7" s="17"/>
      <c r="G7" s="17"/>
      <c r="H7" s="17"/>
      <c r="I7" s="17"/>
      <c r="J7" s="17"/>
      <c r="K7" s="17"/>
      <c r="L7" s="17">
        <v>1</v>
      </c>
      <c r="M7" s="17"/>
      <c r="O7" s="18">
        <f>IFERROR(INDEX($D7:$M7,MATCH($P$2,$D$6:$M$6,0)),"")</f>
        <v>0</v>
      </c>
    </row>
    <row r="8" spans="2:16" x14ac:dyDescent="0.3">
      <c r="B8" s="19" t="s">
        <v>90</v>
      </c>
      <c r="C8" s="19" t="s">
        <v>16</v>
      </c>
      <c r="D8" s="20"/>
      <c r="E8" s="20">
        <v>1</v>
      </c>
      <c r="F8" s="20"/>
      <c r="G8" s="20"/>
      <c r="H8" s="20"/>
      <c r="I8" s="20"/>
      <c r="J8" s="20"/>
      <c r="K8" s="20"/>
      <c r="L8" s="20"/>
      <c r="M8" s="20"/>
      <c r="O8" s="18">
        <f t="shared" ref="O8:O60" si="0">IFERROR(INDEX($D8:$M8,MATCH($P$2,$D$6:$M$6,0)),"")</f>
        <v>0</v>
      </c>
    </row>
    <row r="9" spans="2:16" x14ac:dyDescent="0.3">
      <c r="B9" s="16" t="s">
        <v>73</v>
      </c>
      <c r="C9" s="16" t="s">
        <v>16</v>
      </c>
      <c r="D9" s="17"/>
      <c r="E9" s="17"/>
      <c r="F9" s="17"/>
      <c r="G9" s="17"/>
      <c r="H9" s="17"/>
      <c r="I9" s="17">
        <v>1.8</v>
      </c>
      <c r="J9" s="17">
        <v>1</v>
      </c>
      <c r="K9" s="17"/>
      <c r="L9" s="17"/>
      <c r="M9" s="17"/>
      <c r="O9" s="18">
        <f t="shared" si="0"/>
        <v>0</v>
      </c>
    </row>
    <row r="10" spans="2:16" x14ac:dyDescent="0.3">
      <c r="B10" s="19" t="s">
        <v>26</v>
      </c>
      <c r="C10" s="19" t="s">
        <v>16</v>
      </c>
      <c r="D10" s="20"/>
      <c r="E10" s="20"/>
      <c r="F10" s="20">
        <v>0</v>
      </c>
      <c r="G10" s="20"/>
      <c r="H10" s="20">
        <v>1</v>
      </c>
      <c r="I10" s="20"/>
      <c r="J10" s="20"/>
      <c r="K10" s="20"/>
      <c r="L10" s="20"/>
      <c r="M10" s="20"/>
      <c r="O10" s="18">
        <f t="shared" si="0"/>
        <v>0</v>
      </c>
    </row>
    <row r="11" spans="2:16" x14ac:dyDescent="0.3">
      <c r="B11" s="16" t="s">
        <v>27</v>
      </c>
      <c r="C11" s="16" t="s">
        <v>16</v>
      </c>
      <c r="D11" s="17"/>
      <c r="E11" s="17"/>
      <c r="F11" s="17">
        <v>1</v>
      </c>
      <c r="G11" s="17"/>
      <c r="H11" s="17"/>
      <c r="I11" s="17">
        <v>1</v>
      </c>
      <c r="J11" s="17"/>
      <c r="K11" s="17"/>
      <c r="L11" s="17"/>
      <c r="M11" s="17"/>
      <c r="O11" s="18">
        <f t="shared" si="0"/>
        <v>1</v>
      </c>
    </row>
    <row r="12" spans="2:16" x14ac:dyDescent="0.3">
      <c r="B12" s="19" t="s">
        <v>91</v>
      </c>
      <c r="C12" s="19" t="s">
        <v>16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O12" s="18">
        <f t="shared" si="0"/>
        <v>0</v>
      </c>
    </row>
    <row r="13" spans="2:16" x14ac:dyDescent="0.3">
      <c r="B13" s="16" t="s">
        <v>28</v>
      </c>
      <c r="C13" s="16" t="s">
        <v>16</v>
      </c>
      <c r="D13" s="17"/>
      <c r="E13" s="17"/>
      <c r="F13" s="17"/>
      <c r="G13" s="17">
        <v>1</v>
      </c>
      <c r="H13" s="17"/>
      <c r="I13" s="17"/>
      <c r="J13" s="17"/>
      <c r="K13" s="17"/>
      <c r="L13" s="17"/>
      <c r="M13" s="17"/>
      <c r="O13" s="18">
        <f t="shared" si="0"/>
        <v>0</v>
      </c>
    </row>
    <row r="14" spans="2:16" x14ac:dyDescent="0.3">
      <c r="B14" s="19" t="s">
        <v>19</v>
      </c>
      <c r="C14" s="19" t="s">
        <v>16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O14" s="18">
        <f t="shared" si="0"/>
        <v>0</v>
      </c>
    </row>
    <row r="15" spans="2:16" x14ac:dyDescent="0.3">
      <c r="B15" s="16" t="s">
        <v>29</v>
      </c>
      <c r="C15" s="16" t="s">
        <v>16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O15" s="18">
        <f t="shared" si="0"/>
        <v>0</v>
      </c>
    </row>
    <row r="16" spans="2:16" x14ac:dyDescent="0.3">
      <c r="B16" s="19" t="s">
        <v>30</v>
      </c>
      <c r="C16" s="19" t="s">
        <v>16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O16" s="18">
        <f t="shared" si="0"/>
        <v>0</v>
      </c>
    </row>
    <row r="17" spans="2:15" x14ac:dyDescent="0.3">
      <c r="B17" s="16" t="s">
        <v>31</v>
      </c>
      <c r="C17" s="16" t="s">
        <v>16</v>
      </c>
      <c r="D17" s="17"/>
      <c r="E17" s="17"/>
      <c r="F17" s="17"/>
      <c r="G17" s="17"/>
      <c r="H17" s="17"/>
      <c r="I17" s="17"/>
      <c r="J17" s="17"/>
      <c r="K17" s="17">
        <v>1</v>
      </c>
      <c r="L17" s="17"/>
      <c r="M17" s="17"/>
      <c r="O17" s="18">
        <f t="shared" si="0"/>
        <v>0</v>
      </c>
    </row>
    <row r="18" spans="2:15" x14ac:dyDescent="0.3">
      <c r="B18" s="19" t="s">
        <v>92</v>
      </c>
      <c r="C18" s="19" t="s">
        <v>16</v>
      </c>
      <c r="D18" s="20"/>
      <c r="E18" s="20"/>
      <c r="F18" s="20"/>
      <c r="G18" s="20"/>
      <c r="H18" s="20"/>
      <c r="I18" s="20"/>
      <c r="J18" s="20"/>
      <c r="K18" s="20"/>
      <c r="L18" s="20"/>
      <c r="M18" s="20">
        <v>1</v>
      </c>
      <c r="O18" s="18">
        <f t="shared" si="0"/>
        <v>0</v>
      </c>
    </row>
    <row r="19" spans="2:15" x14ac:dyDescent="0.3">
      <c r="B19" s="16" t="s">
        <v>32</v>
      </c>
      <c r="C19" s="16" t="s">
        <v>16</v>
      </c>
      <c r="D19" s="17">
        <v>0.6</v>
      </c>
      <c r="E19" s="17">
        <v>0.6</v>
      </c>
      <c r="F19" s="17">
        <v>1</v>
      </c>
      <c r="G19" s="17">
        <v>0.2</v>
      </c>
      <c r="H19" s="17"/>
      <c r="I19" s="17">
        <v>1</v>
      </c>
      <c r="J19" s="17">
        <v>0.8</v>
      </c>
      <c r="K19" s="17"/>
      <c r="L19" s="17">
        <v>0.5</v>
      </c>
      <c r="M19" s="17"/>
      <c r="O19" s="18">
        <f t="shared" si="0"/>
        <v>1</v>
      </c>
    </row>
    <row r="20" spans="2:15" x14ac:dyDescent="0.3">
      <c r="B20" s="19" t="s">
        <v>77</v>
      </c>
      <c r="C20" s="19" t="s">
        <v>16</v>
      </c>
      <c r="D20" s="20"/>
      <c r="E20" s="20"/>
      <c r="F20" s="20"/>
      <c r="G20" s="20"/>
      <c r="H20" s="20">
        <v>0.2</v>
      </c>
      <c r="I20" s="20">
        <v>0</v>
      </c>
      <c r="J20" s="20">
        <v>1.5</v>
      </c>
      <c r="K20" s="20"/>
      <c r="L20" s="20"/>
      <c r="M20" s="20"/>
      <c r="O20" s="18">
        <f t="shared" si="0"/>
        <v>0</v>
      </c>
    </row>
    <row r="21" spans="2:15" x14ac:dyDescent="0.3">
      <c r="B21" s="16" t="s">
        <v>75</v>
      </c>
      <c r="C21" s="16" t="s">
        <v>16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O21" s="18">
        <f t="shared" si="0"/>
        <v>0</v>
      </c>
    </row>
    <row r="22" spans="2:15" x14ac:dyDescent="0.3">
      <c r="B22" s="19" t="s">
        <v>74</v>
      </c>
      <c r="C22" s="19" t="s">
        <v>16</v>
      </c>
      <c r="D22" s="20"/>
      <c r="E22" s="20"/>
      <c r="F22" s="20"/>
      <c r="G22" s="20"/>
      <c r="H22" s="20"/>
      <c r="I22" s="20"/>
      <c r="J22" s="20"/>
      <c r="K22" s="20">
        <v>0.65</v>
      </c>
      <c r="L22" s="20"/>
      <c r="M22" s="20">
        <v>0.4</v>
      </c>
      <c r="O22" s="18">
        <f t="shared" si="0"/>
        <v>0</v>
      </c>
    </row>
    <row r="23" spans="2:15" x14ac:dyDescent="0.3">
      <c r="B23" s="16" t="s">
        <v>20</v>
      </c>
      <c r="C23" s="16" t="s">
        <v>16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O23" s="18">
        <f t="shared" si="0"/>
        <v>0</v>
      </c>
    </row>
    <row r="24" spans="2:15" x14ac:dyDescent="0.3">
      <c r="B24" s="19" t="s">
        <v>33</v>
      </c>
      <c r="C24" s="19" t="s">
        <v>16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O24" s="18">
        <f t="shared" si="0"/>
        <v>0</v>
      </c>
    </row>
    <row r="25" spans="2:15" x14ac:dyDescent="0.3">
      <c r="B25" s="16" t="s">
        <v>6</v>
      </c>
      <c r="C25" s="16" t="s">
        <v>59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O25" s="18">
        <f t="shared" si="0"/>
        <v>0</v>
      </c>
    </row>
    <row r="26" spans="2:15" x14ac:dyDescent="0.3">
      <c r="B26" s="19" t="s">
        <v>72</v>
      </c>
      <c r="C26" s="19" t="s">
        <v>16</v>
      </c>
      <c r="D26" s="20"/>
      <c r="E26" s="20"/>
      <c r="F26" s="20"/>
      <c r="G26" s="20">
        <v>0.25</v>
      </c>
      <c r="H26" s="20"/>
      <c r="I26" s="20"/>
      <c r="J26" s="20"/>
      <c r="K26" s="20"/>
      <c r="L26" s="20"/>
      <c r="M26" s="20"/>
      <c r="O26" s="18">
        <f t="shared" si="0"/>
        <v>0</v>
      </c>
    </row>
    <row r="27" spans="2:15" x14ac:dyDescent="0.3">
      <c r="B27" s="16" t="s">
        <v>69</v>
      </c>
      <c r="C27" s="16" t="s">
        <v>16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O27" s="18">
        <f t="shared" si="0"/>
        <v>0</v>
      </c>
    </row>
    <row r="28" spans="2:15" x14ac:dyDescent="0.3">
      <c r="B28" s="19" t="s">
        <v>55</v>
      </c>
      <c r="C28" s="19" t="s">
        <v>16</v>
      </c>
      <c r="D28" s="20"/>
      <c r="E28" s="20"/>
      <c r="F28" s="20"/>
      <c r="G28" s="20"/>
      <c r="H28" s="20"/>
      <c r="I28" s="20"/>
      <c r="J28" s="20"/>
      <c r="K28" s="20">
        <v>0.5</v>
      </c>
      <c r="L28" s="20">
        <v>0.35</v>
      </c>
      <c r="M28" s="20"/>
      <c r="O28" s="18">
        <f t="shared" si="0"/>
        <v>0</v>
      </c>
    </row>
    <row r="29" spans="2:15" x14ac:dyDescent="0.3">
      <c r="B29" s="16" t="s">
        <v>61</v>
      </c>
      <c r="C29" s="16" t="s">
        <v>16</v>
      </c>
      <c r="D29" s="17">
        <v>1.2E-2</v>
      </c>
      <c r="E29" s="17">
        <v>1.2E-2</v>
      </c>
      <c r="F29" s="17">
        <v>1.2999999999999999E-2</v>
      </c>
      <c r="G29" s="17">
        <v>1.2E-2</v>
      </c>
      <c r="H29" s="17">
        <v>1.2E-2</v>
      </c>
      <c r="I29" s="17">
        <v>1.2E-2</v>
      </c>
      <c r="J29" s="17">
        <v>1.2E-2</v>
      </c>
      <c r="K29" s="17">
        <v>1.2E-2</v>
      </c>
      <c r="L29" s="17">
        <v>1.2E-2</v>
      </c>
      <c r="M29" s="17">
        <v>1.2E-2</v>
      </c>
      <c r="O29" s="18">
        <f t="shared" si="0"/>
        <v>1.2999999999999999E-2</v>
      </c>
    </row>
    <row r="30" spans="2:15" x14ac:dyDescent="0.3">
      <c r="B30" s="19" t="s">
        <v>8</v>
      </c>
      <c r="C30" s="19" t="s">
        <v>16</v>
      </c>
      <c r="D30" s="20">
        <v>2E-3</v>
      </c>
      <c r="E30" s="20">
        <v>2E-3</v>
      </c>
      <c r="F30" s="20">
        <v>2E-3</v>
      </c>
      <c r="G30" s="20">
        <v>2E-3</v>
      </c>
      <c r="H30" s="20">
        <v>2E-3</v>
      </c>
      <c r="I30" s="20">
        <v>2E-3</v>
      </c>
      <c r="J30" s="20">
        <v>2E-3</v>
      </c>
      <c r="K30" s="20">
        <v>2E-3</v>
      </c>
      <c r="L30" s="20">
        <v>2E-3</v>
      </c>
      <c r="M30" s="20">
        <v>2E-3</v>
      </c>
      <c r="O30" s="18">
        <f t="shared" si="0"/>
        <v>2E-3</v>
      </c>
    </row>
    <row r="31" spans="2:15" x14ac:dyDescent="0.3">
      <c r="B31" s="16" t="s">
        <v>9</v>
      </c>
      <c r="C31" s="16" t="s">
        <v>16</v>
      </c>
      <c r="D31" s="17">
        <v>5.0000000000000001E-3</v>
      </c>
      <c r="E31" s="17">
        <v>5.0000000000000001E-3</v>
      </c>
      <c r="F31" s="17">
        <v>5.0000000000000001E-3</v>
      </c>
      <c r="G31" s="17">
        <v>5.0000000000000001E-3</v>
      </c>
      <c r="H31" s="17"/>
      <c r="I31" s="17">
        <v>5.0000000000000001E-3</v>
      </c>
      <c r="J31" s="17">
        <v>5.0000000000000001E-3</v>
      </c>
      <c r="K31" s="17">
        <v>5.0000000000000001E-3</v>
      </c>
      <c r="L31" s="17"/>
      <c r="M31" s="17"/>
      <c r="O31" s="18">
        <f t="shared" si="0"/>
        <v>5.0000000000000001E-3</v>
      </c>
    </row>
    <row r="32" spans="2:15" x14ac:dyDescent="0.3">
      <c r="B32" s="19" t="s">
        <v>34</v>
      </c>
      <c r="C32" s="19" t="s">
        <v>18</v>
      </c>
      <c r="D32" s="20">
        <v>0.3</v>
      </c>
      <c r="E32" s="20">
        <v>0.3</v>
      </c>
      <c r="F32" s="20">
        <v>1</v>
      </c>
      <c r="G32" s="20">
        <v>0.3</v>
      </c>
      <c r="H32" s="20"/>
      <c r="I32" s="20">
        <v>0.3</v>
      </c>
      <c r="J32" s="20">
        <v>1</v>
      </c>
      <c r="K32" s="20">
        <v>1</v>
      </c>
      <c r="L32" s="20">
        <v>1</v>
      </c>
      <c r="M32" s="20">
        <v>0.3</v>
      </c>
      <c r="O32" s="18">
        <f t="shared" si="0"/>
        <v>1</v>
      </c>
    </row>
    <row r="33" spans="2:15" x14ac:dyDescent="0.3">
      <c r="B33" s="16" t="s">
        <v>35</v>
      </c>
      <c r="C33" s="16" t="s">
        <v>18</v>
      </c>
      <c r="D33" s="17"/>
      <c r="E33" s="17"/>
      <c r="F33" s="17">
        <v>5</v>
      </c>
      <c r="G33" s="17"/>
      <c r="H33" s="17"/>
      <c r="I33" s="17">
        <v>5</v>
      </c>
      <c r="J33" s="17"/>
      <c r="K33" s="17"/>
      <c r="L33" s="17"/>
      <c r="M33" s="17"/>
      <c r="O33" s="18">
        <f t="shared" si="0"/>
        <v>5</v>
      </c>
    </row>
    <row r="34" spans="2:15" x14ac:dyDescent="0.3">
      <c r="B34" s="19" t="s">
        <v>40</v>
      </c>
      <c r="C34" s="19" t="s">
        <v>17</v>
      </c>
      <c r="D34" s="20"/>
      <c r="E34" s="20"/>
      <c r="F34" s="20"/>
      <c r="G34" s="20"/>
      <c r="H34" s="20">
        <v>3</v>
      </c>
      <c r="I34" s="20"/>
      <c r="J34" s="20"/>
      <c r="K34" s="20"/>
      <c r="L34" s="20"/>
      <c r="M34" s="20"/>
      <c r="O34" s="18">
        <f t="shared" si="0"/>
        <v>0</v>
      </c>
    </row>
    <row r="35" spans="2:15" x14ac:dyDescent="0.3">
      <c r="B35" s="16" t="s">
        <v>52</v>
      </c>
      <c r="C35" s="16" t="s">
        <v>22</v>
      </c>
      <c r="D35" s="17"/>
      <c r="E35" s="17"/>
      <c r="F35" s="17"/>
      <c r="G35" s="17"/>
      <c r="H35" s="17">
        <v>0.1</v>
      </c>
      <c r="I35" s="17"/>
      <c r="J35" s="17"/>
      <c r="K35" s="17"/>
      <c r="L35" s="17"/>
      <c r="M35" s="17">
        <v>0.01</v>
      </c>
      <c r="O35" s="18">
        <f t="shared" si="0"/>
        <v>0</v>
      </c>
    </row>
    <row r="36" spans="2:15" x14ac:dyDescent="0.3">
      <c r="B36" s="19" t="s">
        <v>94</v>
      </c>
      <c r="C36" s="19" t="s">
        <v>22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O36" s="18">
        <f t="shared" si="0"/>
        <v>0</v>
      </c>
    </row>
    <row r="37" spans="2:15" x14ac:dyDescent="0.3">
      <c r="B37" s="16" t="s">
        <v>57</v>
      </c>
      <c r="C37" s="16" t="s">
        <v>56</v>
      </c>
      <c r="D37" s="17"/>
      <c r="E37" s="17">
        <v>0.5</v>
      </c>
      <c r="F37" s="17"/>
      <c r="G37" s="17"/>
      <c r="H37" s="17"/>
      <c r="I37" s="17"/>
      <c r="J37" s="17"/>
      <c r="K37" s="17"/>
      <c r="L37" s="17"/>
      <c r="M37" s="17"/>
      <c r="O37" s="18">
        <f t="shared" si="0"/>
        <v>0</v>
      </c>
    </row>
    <row r="38" spans="2:15" x14ac:dyDescent="0.3">
      <c r="B38" s="19" t="s">
        <v>36</v>
      </c>
      <c r="C38" s="19" t="s">
        <v>17</v>
      </c>
      <c r="D38" s="20">
        <v>0.5</v>
      </c>
      <c r="E38" s="20">
        <v>0.5</v>
      </c>
      <c r="F38" s="20">
        <v>0.5</v>
      </c>
      <c r="G38" s="20">
        <v>0.5</v>
      </c>
      <c r="H38" s="20"/>
      <c r="I38" s="20">
        <v>0.5</v>
      </c>
      <c r="J38" s="20">
        <v>0.5</v>
      </c>
      <c r="K38" s="20"/>
      <c r="L38" s="20"/>
      <c r="M38" s="20"/>
      <c r="O38" s="18">
        <f t="shared" si="0"/>
        <v>0.5</v>
      </c>
    </row>
    <row r="39" spans="2:15" x14ac:dyDescent="0.3">
      <c r="B39" s="16" t="s">
        <v>54</v>
      </c>
      <c r="C39" s="16" t="s">
        <v>16</v>
      </c>
      <c r="D39" s="17"/>
      <c r="E39" s="17"/>
      <c r="F39" s="17"/>
      <c r="G39" s="17"/>
      <c r="H39" s="17">
        <v>1</v>
      </c>
      <c r="I39" s="17"/>
      <c r="J39" s="17"/>
      <c r="K39" s="17">
        <v>0.1</v>
      </c>
      <c r="L39" s="17">
        <v>0.15</v>
      </c>
      <c r="M39" s="17">
        <v>0.75</v>
      </c>
      <c r="O39" s="18">
        <f t="shared" si="0"/>
        <v>0</v>
      </c>
    </row>
    <row r="40" spans="2:15" x14ac:dyDescent="0.3">
      <c r="B40" s="19" t="s">
        <v>66</v>
      </c>
      <c r="C40" s="19" t="s">
        <v>67</v>
      </c>
      <c r="D40" s="20"/>
      <c r="E40" s="20"/>
      <c r="F40" s="20">
        <v>1</v>
      </c>
      <c r="G40" s="20"/>
      <c r="H40" s="20"/>
      <c r="I40" s="20"/>
      <c r="J40" s="20"/>
      <c r="K40" s="20"/>
      <c r="L40" s="20"/>
      <c r="M40" s="20"/>
      <c r="O40" s="18">
        <f t="shared" si="0"/>
        <v>1</v>
      </c>
    </row>
    <row r="41" spans="2:15" x14ac:dyDescent="0.3">
      <c r="B41" s="16" t="s">
        <v>76</v>
      </c>
      <c r="C41" s="16"/>
      <c r="D41" s="17"/>
      <c r="E41" s="17"/>
      <c r="F41" s="17"/>
      <c r="G41" s="17"/>
      <c r="H41" s="17"/>
      <c r="I41" s="17"/>
      <c r="J41" s="17"/>
      <c r="K41" s="17">
        <v>1</v>
      </c>
      <c r="L41" s="17"/>
      <c r="M41" s="17"/>
      <c r="O41" s="18">
        <f t="shared" si="0"/>
        <v>0</v>
      </c>
    </row>
    <row r="42" spans="2:15" x14ac:dyDescent="0.3">
      <c r="B42" s="19" t="s">
        <v>68</v>
      </c>
      <c r="C42" s="19" t="s">
        <v>65</v>
      </c>
      <c r="D42" s="20"/>
      <c r="E42" s="20"/>
      <c r="F42" s="20"/>
      <c r="G42" s="20">
        <v>0</v>
      </c>
      <c r="H42" s="20"/>
      <c r="I42" s="20"/>
      <c r="J42" s="20"/>
      <c r="K42" s="20"/>
      <c r="L42" s="20"/>
      <c r="M42" s="20"/>
      <c r="O42" s="18">
        <f t="shared" si="0"/>
        <v>0</v>
      </c>
    </row>
    <row r="43" spans="2:15" x14ac:dyDescent="0.3">
      <c r="B43" s="16" t="s">
        <v>37</v>
      </c>
      <c r="C43" s="16" t="s">
        <v>46</v>
      </c>
      <c r="D43" s="17"/>
      <c r="E43" s="17"/>
      <c r="F43" s="17"/>
      <c r="G43" s="17"/>
      <c r="H43" s="17">
        <v>4</v>
      </c>
      <c r="I43" s="17"/>
      <c r="J43" s="17"/>
      <c r="K43" s="17"/>
      <c r="L43" s="17"/>
      <c r="M43" s="17">
        <v>2</v>
      </c>
      <c r="O43" s="18">
        <f t="shared" si="0"/>
        <v>0</v>
      </c>
    </row>
    <row r="44" spans="2:15" x14ac:dyDescent="0.3">
      <c r="B44" s="19" t="s">
        <v>38</v>
      </c>
      <c r="C44" s="19" t="s">
        <v>16</v>
      </c>
      <c r="D44" s="20"/>
      <c r="E44" s="20"/>
      <c r="F44" s="20"/>
      <c r="G44" s="20"/>
      <c r="H44" s="20">
        <v>0.2</v>
      </c>
      <c r="I44" s="20"/>
      <c r="J44" s="20"/>
      <c r="K44" s="20"/>
      <c r="L44" s="20"/>
      <c r="M44" s="20"/>
      <c r="O44" s="18">
        <f t="shared" si="0"/>
        <v>0</v>
      </c>
    </row>
    <row r="45" spans="2:15" x14ac:dyDescent="0.3">
      <c r="B45" s="16" t="s">
        <v>39</v>
      </c>
      <c r="C45" s="16" t="s">
        <v>16</v>
      </c>
      <c r="D45" s="17"/>
      <c r="E45" s="17"/>
      <c r="F45" s="17"/>
      <c r="G45" s="17"/>
      <c r="H45" s="17">
        <v>0.3</v>
      </c>
      <c r="I45" s="17"/>
      <c r="J45" s="17"/>
      <c r="K45" s="17"/>
      <c r="L45" s="17"/>
      <c r="M45" s="17"/>
      <c r="O45" s="18">
        <f t="shared" si="0"/>
        <v>0</v>
      </c>
    </row>
    <row r="46" spans="2:15" x14ac:dyDescent="0.3">
      <c r="B46" s="19" t="s">
        <v>51</v>
      </c>
      <c r="C46" s="19" t="s">
        <v>16</v>
      </c>
      <c r="D46" s="20"/>
      <c r="E46" s="20"/>
      <c r="F46" s="20"/>
      <c r="G46" s="20"/>
      <c r="H46" s="20">
        <v>7.0000000000000007E-2</v>
      </c>
      <c r="I46" s="20"/>
      <c r="J46" s="20"/>
      <c r="K46" s="20"/>
      <c r="L46" s="20"/>
      <c r="M46" s="20"/>
      <c r="O46" s="18">
        <f t="shared" si="0"/>
        <v>0</v>
      </c>
    </row>
    <row r="47" spans="2:15" x14ac:dyDescent="0.3">
      <c r="B47" s="16" t="s">
        <v>48</v>
      </c>
      <c r="C47" s="16" t="s">
        <v>16</v>
      </c>
      <c r="D47" s="17"/>
      <c r="E47" s="17"/>
      <c r="F47" s="17"/>
      <c r="G47" s="17"/>
      <c r="H47" s="17">
        <v>1.4999999999999999E-2</v>
      </c>
      <c r="I47" s="17"/>
      <c r="J47" s="17"/>
      <c r="K47" s="17"/>
      <c r="L47" s="17"/>
      <c r="M47" s="17"/>
      <c r="O47" s="18">
        <f t="shared" si="0"/>
        <v>0</v>
      </c>
    </row>
    <row r="48" spans="2:15" x14ac:dyDescent="0.3">
      <c r="B48" s="19" t="s">
        <v>41</v>
      </c>
      <c r="C48" s="19" t="s">
        <v>17</v>
      </c>
      <c r="D48" s="20"/>
      <c r="E48" s="20"/>
      <c r="F48" s="20"/>
      <c r="G48" s="20"/>
      <c r="H48" s="20">
        <v>1</v>
      </c>
      <c r="I48" s="20"/>
      <c r="J48" s="20"/>
      <c r="K48" s="20"/>
      <c r="L48" s="20"/>
      <c r="M48" s="20"/>
      <c r="O48" s="18">
        <f t="shared" si="0"/>
        <v>0</v>
      </c>
    </row>
    <row r="49" spans="2:15" x14ac:dyDescent="0.3">
      <c r="B49" s="16" t="s">
        <v>42</v>
      </c>
      <c r="C49" s="16" t="s">
        <v>17</v>
      </c>
      <c r="D49" s="17"/>
      <c r="E49" s="17"/>
      <c r="F49" s="17"/>
      <c r="G49" s="17"/>
      <c r="H49" s="17">
        <v>1</v>
      </c>
      <c r="I49" s="17"/>
      <c r="J49" s="17"/>
      <c r="K49" s="17"/>
      <c r="L49" s="17"/>
      <c r="M49" s="17"/>
      <c r="O49" s="18">
        <f t="shared" si="0"/>
        <v>0</v>
      </c>
    </row>
    <row r="50" spans="2:15" x14ac:dyDescent="0.3">
      <c r="B50" s="19" t="s">
        <v>95</v>
      </c>
      <c r="C50" s="19" t="s">
        <v>17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O50" s="18">
        <f t="shared" si="0"/>
        <v>0</v>
      </c>
    </row>
    <row r="51" spans="2:15" x14ac:dyDescent="0.3">
      <c r="B51" s="16" t="s">
        <v>53</v>
      </c>
      <c r="C51" s="16" t="s">
        <v>49</v>
      </c>
      <c r="D51" s="17"/>
      <c r="E51" s="17"/>
      <c r="F51" s="17"/>
      <c r="G51" s="17"/>
      <c r="H51" s="17">
        <v>6</v>
      </c>
      <c r="I51" s="17"/>
      <c r="J51" s="17"/>
      <c r="K51" s="17">
        <v>2</v>
      </c>
      <c r="L51" s="17"/>
      <c r="M51" s="17"/>
      <c r="O51" s="18">
        <f t="shared" si="0"/>
        <v>0</v>
      </c>
    </row>
    <row r="52" spans="2:15" x14ac:dyDescent="0.3">
      <c r="B52" s="19" t="s">
        <v>21</v>
      </c>
      <c r="C52" s="19" t="s">
        <v>16</v>
      </c>
      <c r="D52" s="20"/>
      <c r="E52" s="20"/>
      <c r="F52" s="20"/>
      <c r="G52" s="20"/>
      <c r="H52" s="20"/>
      <c r="I52" s="20"/>
      <c r="J52" s="20"/>
      <c r="K52" s="20">
        <v>0.3</v>
      </c>
      <c r="L52" s="20">
        <v>1</v>
      </c>
      <c r="M52" s="20">
        <v>0.15</v>
      </c>
      <c r="O52" s="18">
        <f t="shared" si="0"/>
        <v>0</v>
      </c>
    </row>
    <row r="53" spans="2:15" x14ac:dyDescent="0.3">
      <c r="B53" s="16" t="s">
        <v>50</v>
      </c>
      <c r="C53" s="16" t="s">
        <v>16</v>
      </c>
      <c r="D53" s="17"/>
      <c r="E53" s="17"/>
      <c r="F53" s="17"/>
      <c r="G53" s="17"/>
      <c r="H53" s="17">
        <v>0.2</v>
      </c>
      <c r="I53" s="17"/>
      <c r="J53" s="17"/>
      <c r="K53" s="17"/>
      <c r="L53" s="17"/>
      <c r="M53" s="17"/>
      <c r="O53" s="18">
        <f t="shared" si="0"/>
        <v>0</v>
      </c>
    </row>
    <row r="54" spans="2:15" x14ac:dyDescent="0.3">
      <c r="B54" s="19" t="s">
        <v>62</v>
      </c>
      <c r="C54" s="19" t="s">
        <v>46</v>
      </c>
      <c r="D54" s="20">
        <v>5</v>
      </c>
      <c r="E54" s="20">
        <v>5</v>
      </c>
      <c r="F54" s="20">
        <v>5</v>
      </c>
      <c r="G54" s="20">
        <v>5</v>
      </c>
      <c r="H54" s="20">
        <v>1</v>
      </c>
      <c r="I54" s="20">
        <v>5</v>
      </c>
      <c r="J54" s="20">
        <v>5</v>
      </c>
      <c r="K54" s="20">
        <v>1</v>
      </c>
      <c r="L54" s="20">
        <v>1</v>
      </c>
      <c r="M54" s="20">
        <v>2</v>
      </c>
      <c r="O54" s="18">
        <f t="shared" si="0"/>
        <v>5</v>
      </c>
    </row>
    <row r="55" spans="2:15" x14ac:dyDescent="0.3">
      <c r="B55" s="16" t="s">
        <v>7</v>
      </c>
      <c r="C55" s="16" t="s">
        <v>47</v>
      </c>
      <c r="D55" s="17">
        <v>1</v>
      </c>
      <c r="E55" s="17">
        <v>1</v>
      </c>
      <c r="F55" s="17">
        <v>1</v>
      </c>
      <c r="G55" s="17">
        <v>1</v>
      </c>
      <c r="H55" s="17">
        <v>2</v>
      </c>
      <c r="I55" s="17">
        <v>1</v>
      </c>
      <c r="J55" s="17">
        <v>1</v>
      </c>
      <c r="K55" s="17">
        <v>0.5</v>
      </c>
      <c r="L55" s="17">
        <v>0.5</v>
      </c>
      <c r="M55" s="17">
        <v>1</v>
      </c>
      <c r="O55" s="18">
        <f t="shared" si="0"/>
        <v>1</v>
      </c>
    </row>
    <row r="56" spans="2:15" x14ac:dyDescent="0.3">
      <c r="B56" s="19" t="s">
        <v>43</v>
      </c>
      <c r="C56" s="19" t="s">
        <v>22</v>
      </c>
      <c r="D56" s="20"/>
      <c r="E56" s="20"/>
      <c r="F56" s="20"/>
      <c r="G56" s="20">
        <v>0.12</v>
      </c>
      <c r="H56" s="20">
        <v>0.7</v>
      </c>
      <c r="I56" s="20">
        <v>0.1</v>
      </c>
      <c r="J56" s="20"/>
      <c r="K56" s="20">
        <v>0.2</v>
      </c>
      <c r="L56" s="20">
        <v>0.75</v>
      </c>
      <c r="M56" s="20"/>
      <c r="O56" s="18">
        <f t="shared" si="0"/>
        <v>0</v>
      </c>
    </row>
    <row r="57" spans="2:15" x14ac:dyDescent="0.3">
      <c r="B57" s="16" t="s">
        <v>44</v>
      </c>
      <c r="C57" s="16" t="s">
        <v>22</v>
      </c>
      <c r="D57" s="17">
        <v>0.12</v>
      </c>
      <c r="E57" s="17">
        <v>7.0000000000000007E-2</v>
      </c>
      <c r="F57" s="17">
        <v>0.15</v>
      </c>
      <c r="G57" s="17"/>
      <c r="H57" s="17"/>
      <c r="I57" s="17"/>
      <c r="J57" s="17">
        <v>0.05</v>
      </c>
      <c r="K57" s="17"/>
      <c r="L57" s="17"/>
      <c r="M57" s="17">
        <v>0.4</v>
      </c>
      <c r="O57" s="18">
        <f t="shared" si="0"/>
        <v>0.15</v>
      </c>
    </row>
    <row r="58" spans="2:15" x14ac:dyDescent="0.3">
      <c r="B58" s="19" t="s">
        <v>60</v>
      </c>
      <c r="C58" s="19" t="s">
        <v>22</v>
      </c>
      <c r="D58" s="20">
        <v>0.03</v>
      </c>
      <c r="E58" s="20">
        <v>0.03</v>
      </c>
      <c r="F58" s="20">
        <v>0.04</v>
      </c>
      <c r="G58" s="20"/>
      <c r="H58" s="20">
        <v>0.03</v>
      </c>
      <c r="I58" s="20">
        <v>7.0000000000000007E-2</v>
      </c>
      <c r="J58" s="20">
        <v>7.0000000000000007E-2</v>
      </c>
      <c r="K58" s="20">
        <v>0.05</v>
      </c>
      <c r="L58" s="20">
        <v>0.02</v>
      </c>
      <c r="M58" s="20">
        <v>0.02</v>
      </c>
      <c r="O58" s="18">
        <f t="shared" si="0"/>
        <v>0.04</v>
      </c>
    </row>
    <row r="59" spans="2:15" x14ac:dyDescent="0.3">
      <c r="B59" s="16" t="s">
        <v>96</v>
      </c>
      <c r="C59" s="16" t="s">
        <v>22</v>
      </c>
      <c r="D59" s="17"/>
      <c r="E59" s="17"/>
      <c r="F59" s="17"/>
      <c r="G59" s="17">
        <v>0.03</v>
      </c>
      <c r="H59" s="17"/>
      <c r="I59" s="17"/>
      <c r="J59" s="17"/>
      <c r="K59" s="17"/>
      <c r="L59" s="17"/>
      <c r="M59" s="17"/>
      <c r="O59" s="18">
        <f t="shared" si="0"/>
        <v>0</v>
      </c>
    </row>
    <row r="60" spans="2:15" x14ac:dyDescent="0.3">
      <c r="B60" s="19" t="s">
        <v>45</v>
      </c>
      <c r="C60" s="19" t="s">
        <v>22</v>
      </c>
      <c r="D60" s="20"/>
      <c r="E60" s="20">
        <v>4.4999999999999998E-2</v>
      </c>
      <c r="F60" s="20"/>
      <c r="G60" s="20"/>
      <c r="H60" s="20"/>
      <c r="I60" s="20"/>
      <c r="J60" s="20"/>
      <c r="K60" s="20">
        <v>0</v>
      </c>
      <c r="L60" s="20">
        <v>0</v>
      </c>
      <c r="M60" s="20"/>
      <c r="O60" s="18">
        <f t="shared" si="0"/>
        <v>0</v>
      </c>
    </row>
  </sheetData>
  <conditionalFormatting sqref="O7:O60">
    <cfRule type="cellIs" dxfId="2" priority="1" operator="greaterThan">
      <formula>0</formula>
    </cfRule>
  </conditionalFormatting>
  <dataValidations count="1">
    <dataValidation type="list" allowBlank="1" showInputMessage="1" showErrorMessage="1" sqref="P2" xr:uid="{F7F2221B-3AF0-4AEC-B464-2D786FB9F796}">
      <formula1>$D$6:$M$6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2855-B676-465A-B41A-3585C12D0171}">
  <sheetPr>
    <tabColor rgb="FF4A5D3A"/>
  </sheetPr>
  <dimension ref="A2:P78"/>
  <sheetViews>
    <sheetView showGridLines="0" workbookViewId="0">
      <selection activeCell="D14" sqref="D14"/>
    </sheetView>
  </sheetViews>
  <sheetFormatPr baseColWidth="10" defaultRowHeight="14.4" x14ac:dyDescent="0.3"/>
  <cols>
    <col min="1" max="1" width="11.5546875" style="9"/>
    <col min="2" max="2" width="31.44140625" style="9" customWidth="1"/>
    <col min="3" max="3" width="15.77734375" style="9" customWidth="1"/>
    <col min="4" max="13" width="12.21875" style="9" customWidth="1"/>
    <col min="14" max="14" width="13" style="9" customWidth="1"/>
    <col min="15" max="15" width="9.21875" style="9" customWidth="1"/>
    <col min="16" max="16" width="13.6640625" style="9" bestFit="1" customWidth="1"/>
  </cols>
  <sheetData>
    <row r="2" spans="2:16" ht="21" x14ac:dyDescent="0.3">
      <c r="B2" s="11" t="s">
        <v>132</v>
      </c>
    </row>
    <row r="3" spans="2:16" x14ac:dyDescent="0.3">
      <c r="B3" s="14" t="s">
        <v>208</v>
      </c>
    </row>
    <row r="4" spans="2:16" x14ac:dyDescent="0.3">
      <c r="B4" s="32" t="s">
        <v>133</v>
      </c>
    </row>
    <row r="5" spans="2:16" ht="43.2" x14ac:dyDescent="0.3">
      <c r="D5" s="66" t="s">
        <v>120</v>
      </c>
      <c r="E5" s="66" t="s">
        <v>121</v>
      </c>
      <c r="F5" s="66" t="s">
        <v>122</v>
      </c>
      <c r="G5" s="66" t="s">
        <v>123</v>
      </c>
      <c r="H5" s="66" t="s">
        <v>124</v>
      </c>
      <c r="I5" s="66" t="s">
        <v>125</v>
      </c>
      <c r="J5" s="66" t="s">
        <v>126</v>
      </c>
      <c r="K5" s="66" t="s">
        <v>127</v>
      </c>
      <c r="L5" s="66" t="s">
        <v>128</v>
      </c>
      <c r="M5" s="66" t="s">
        <v>129</v>
      </c>
    </row>
    <row r="6" spans="2:16" x14ac:dyDescent="0.3">
      <c r="B6" s="33" t="s">
        <v>134</v>
      </c>
      <c r="D6" s="67">
        <f>'Stocks Gibier'!N7+'Stocks Gibier'!N8</f>
        <v>5.9248000000000012</v>
      </c>
      <c r="E6" s="67">
        <f>'Stocks Gibier'!N11+'Stocks Gibier'!N12</f>
        <v>14.516000000000002</v>
      </c>
      <c r="F6" s="67">
        <f>'Stocks Gibier'!N15</f>
        <v>0</v>
      </c>
      <c r="G6" s="67">
        <f>'Stocks Gibier'!N19+'Stocks Gibier'!N20</f>
        <v>13.7028</v>
      </c>
      <c r="H6" s="67">
        <f>0</f>
        <v>0</v>
      </c>
      <c r="I6" s="67">
        <f>'Stocks Gibier'!N16+'Stocks Gibier'!N13</f>
        <v>6.95</v>
      </c>
      <c r="J6" s="67">
        <f>0</f>
        <v>0</v>
      </c>
      <c r="K6" s="67">
        <f>0</f>
        <v>0</v>
      </c>
      <c r="L6" s="67">
        <f>'Stocks Gibier'!N9</f>
        <v>0</v>
      </c>
      <c r="M6" s="67">
        <f>'Stocks Gibier'!N10</f>
        <v>8.1054999999999993</v>
      </c>
    </row>
    <row r="7" spans="2:16" x14ac:dyDescent="0.3">
      <c r="B7" s="68" t="s">
        <v>209</v>
      </c>
    </row>
    <row r="8" spans="2:16" ht="43.2" x14ac:dyDescent="0.3">
      <c r="B8" s="7" t="s">
        <v>85</v>
      </c>
      <c r="C8" s="8" t="s">
        <v>86</v>
      </c>
      <c r="D8" s="8" t="str">
        <f>D$5</f>
        <v>Pâté de lièvre</v>
      </c>
      <c r="E8" s="8" t="str">
        <f>E$5</f>
        <v>Pâté de chevreuil</v>
      </c>
      <c r="F8" s="8" t="str">
        <f>F$5</f>
        <v>Pâté de sanglier (campagne)</v>
      </c>
      <c r="G8" s="8" t="str">
        <f>G$5</f>
        <v>Pâté de faisan</v>
      </c>
      <c r="H8" s="8" t="str">
        <f>H$5</f>
        <v>Daube de sanglier</v>
      </c>
      <c r="I8" s="8" t="str">
        <f>I$5</f>
        <v>Pâté de foie de sanglier</v>
      </c>
      <c r="J8" s="8" t="str">
        <f>J$5</f>
        <v>Pâté de foie de chevreuil</v>
      </c>
      <c r="K8" s="8" t="str">
        <f>K$5</f>
        <v>Rillette de perdreaux</v>
      </c>
      <c r="L8" s="8" t="str">
        <f>L$5</f>
        <v>Rillette de lièvre</v>
      </c>
      <c r="M8" s="8" t="str">
        <f>M$5</f>
        <v>Civet de chevreuil</v>
      </c>
      <c r="N8" s="8" t="s">
        <v>135</v>
      </c>
      <c r="O8" s="69" t="s">
        <v>195</v>
      </c>
      <c r="P8" s="69" t="s">
        <v>137</v>
      </c>
    </row>
    <row r="9" spans="2:16" x14ac:dyDescent="0.3">
      <c r="B9" s="70" t="str">
        <f>Recettes!B7</f>
        <v>lièvre</v>
      </c>
      <c r="C9" s="16" t="str">
        <f>Recettes!C7</f>
        <v>kg</v>
      </c>
      <c r="D9" s="71">
        <f>Recettes!D7*D$6</f>
        <v>5.9248000000000012</v>
      </c>
      <c r="E9" s="71">
        <f>Recettes!E7*E$6</f>
        <v>0</v>
      </c>
      <c r="F9" s="71">
        <f>Recettes!F7*F$6</f>
        <v>0</v>
      </c>
      <c r="G9" s="71">
        <f>Recettes!G7*G$6</f>
        <v>0</v>
      </c>
      <c r="H9" s="71">
        <f>Recettes!H7*H$6</f>
        <v>0</v>
      </c>
      <c r="I9" s="71">
        <f>Recettes!I7*I$6</f>
        <v>0</v>
      </c>
      <c r="J9" s="71">
        <f>Recettes!J7*J$6</f>
        <v>0</v>
      </c>
      <c r="K9" s="71">
        <f>Recettes!K7*K$6</f>
        <v>0</v>
      </c>
      <c r="L9" s="71">
        <f>Recettes!L7*L$6</f>
        <v>0</v>
      </c>
      <c r="M9" s="71">
        <f>Recettes!M7*M$6</f>
        <v>0</v>
      </c>
      <c r="N9" s="72">
        <f>SUM(D9:M9)</f>
        <v>5.9248000000000012</v>
      </c>
      <c r="O9" s="69">
        <f>IF(C9="g",0.001,1)</f>
        <v>1</v>
      </c>
      <c r="P9" s="73">
        <f>IF(OR(C9="kg",C9="KG",C9="l"),1,IF(C9="g",0.001,0))</f>
        <v>1</v>
      </c>
    </row>
    <row r="10" spans="2:16" x14ac:dyDescent="0.3">
      <c r="B10" s="74" t="str">
        <f>Recettes!B8</f>
        <v>chevreuil paté</v>
      </c>
      <c r="C10" s="19" t="str">
        <f>Recettes!C8</f>
        <v>kg</v>
      </c>
      <c r="D10" s="75">
        <f>Recettes!D8*D$6</f>
        <v>0</v>
      </c>
      <c r="E10" s="75">
        <f>Recettes!E8*E$6</f>
        <v>14.516000000000002</v>
      </c>
      <c r="F10" s="75">
        <f>Recettes!F8*F$6</f>
        <v>0</v>
      </c>
      <c r="G10" s="75">
        <f>Recettes!G8*G$6</f>
        <v>0</v>
      </c>
      <c r="H10" s="75">
        <f>Recettes!H8*H$6</f>
        <v>0</v>
      </c>
      <c r="I10" s="75">
        <f>Recettes!I8*I$6</f>
        <v>0</v>
      </c>
      <c r="J10" s="75">
        <f>Recettes!J8*J$6</f>
        <v>0</v>
      </c>
      <c r="K10" s="75">
        <f>Recettes!K8*K$6</f>
        <v>0</v>
      </c>
      <c r="L10" s="75">
        <f>Recettes!L8*L$6</f>
        <v>0</v>
      </c>
      <c r="M10" s="75">
        <f>Recettes!M8*M$6</f>
        <v>0</v>
      </c>
      <c r="N10" s="76">
        <f t="shared" ref="N10:N62" si="0">SUM(D10:M10)</f>
        <v>14.516000000000002</v>
      </c>
      <c r="O10" s="69">
        <f t="shared" ref="O10:O62" si="1">IF(C10="g",0.001,1)</f>
        <v>1</v>
      </c>
      <c r="P10" s="73">
        <f t="shared" ref="P10:P62" si="2">IF(OR(C10="kg",C10="KG",C10="l"),1,IF(C10="g",0.001,0))</f>
        <v>1</v>
      </c>
    </row>
    <row r="11" spans="2:16" x14ac:dyDescent="0.3">
      <c r="B11" s="70" t="str">
        <f>Recettes!B9</f>
        <v>foie de chevreuil integere dans chevreurol</v>
      </c>
      <c r="C11" s="16" t="str">
        <f>Recettes!C9</f>
        <v>kg</v>
      </c>
      <c r="D11" s="71">
        <f>Recettes!D9*D$6</f>
        <v>0</v>
      </c>
      <c r="E11" s="71">
        <f>Recettes!E9*E$6</f>
        <v>0</v>
      </c>
      <c r="F11" s="71">
        <f>Recettes!F9*F$6</f>
        <v>0</v>
      </c>
      <c r="G11" s="71">
        <f>Recettes!G9*G$6</f>
        <v>0</v>
      </c>
      <c r="H11" s="71">
        <f>Recettes!H9*H$6</f>
        <v>0</v>
      </c>
      <c r="I11" s="71">
        <f>Recettes!I9*I$6</f>
        <v>12.51</v>
      </c>
      <c r="J11" s="71">
        <f>Recettes!J9*J$6</f>
        <v>0</v>
      </c>
      <c r="K11" s="71">
        <f>Recettes!K9*K$6</f>
        <v>0</v>
      </c>
      <c r="L11" s="71">
        <f>Recettes!L9*L$6</f>
        <v>0</v>
      </c>
      <c r="M11" s="71">
        <f>Recettes!M9*M$6</f>
        <v>0</v>
      </c>
      <c r="N11" s="72">
        <f t="shared" si="0"/>
        <v>12.51</v>
      </c>
      <c r="O11" s="69">
        <f t="shared" si="1"/>
        <v>1</v>
      </c>
      <c r="P11" s="73">
        <f t="shared" si="2"/>
        <v>1</v>
      </c>
    </row>
    <row r="12" spans="2:16" x14ac:dyDescent="0.3">
      <c r="B12" s="74" t="str">
        <f>Recettes!B10</f>
        <v>sanglier</v>
      </c>
      <c r="C12" s="19" t="str">
        <f>Recettes!C10</f>
        <v>kg</v>
      </c>
      <c r="D12" s="75">
        <f>Recettes!D10*D$6</f>
        <v>0</v>
      </c>
      <c r="E12" s="75">
        <f>Recettes!E10*E$6</f>
        <v>0</v>
      </c>
      <c r="F12" s="75">
        <f>Recettes!F10*F$6</f>
        <v>0</v>
      </c>
      <c r="G12" s="75">
        <f>Recettes!G10*G$6</f>
        <v>0</v>
      </c>
      <c r="H12" s="75">
        <f>Recettes!H10*H$6</f>
        <v>0</v>
      </c>
      <c r="I12" s="75">
        <f>Recettes!I10*I$6</f>
        <v>0</v>
      </c>
      <c r="J12" s="75">
        <f>Recettes!J10*J$6</f>
        <v>0</v>
      </c>
      <c r="K12" s="75">
        <f>Recettes!K10*K$6</f>
        <v>0</v>
      </c>
      <c r="L12" s="75">
        <f>Recettes!L10*L$6</f>
        <v>0</v>
      </c>
      <c r="M12" s="75">
        <f>Recettes!M10*M$6</f>
        <v>0</v>
      </c>
      <c r="N12" s="76">
        <f t="shared" si="0"/>
        <v>0</v>
      </c>
      <c r="O12" s="69">
        <f t="shared" si="1"/>
        <v>1</v>
      </c>
      <c r="P12" s="73">
        <f t="shared" si="2"/>
        <v>1</v>
      </c>
    </row>
    <row r="13" spans="2:16" x14ac:dyDescent="0.3">
      <c r="B13" s="70" t="str">
        <f>Recettes!B11</f>
        <v>foie de sanglier</v>
      </c>
      <c r="C13" s="16" t="str">
        <f>Recettes!C11</f>
        <v>kg</v>
      </c>
      <c r="D13" s="71">
        <f>Recettes!D11*D$6</f>
        <v>0</v>
      </c>
      <c r="E13" s="71">
        <f>Recettes!E11*E$6</f>
        <v>0</v>
      </c>
      <c r="F13" s="71">
        <f>Recettes!F11*F$6</f>
        <v>0</v>
      </c>
      <c r="G13" s="71">
        <f>Recettes!G11*G$6</f>
        <v>0</v>
      </c>
      <c r="H13" s="71">
        <f>Recettes!H11*H$6</f>
        <v>0</v>
      </c>
      <c r="I13" s="71">
        <f>Recettes!I11*I$6</f>
        <v>6.95</v>
      </c>
      <c r="J13" s="71">
        <f>Recettes!J11*J$6</f>
        <v>0</v>
      </c>
      <c r="K13" s="71">
        <f>Recettes!K11*K$6</f>
        <v>0</v>
      </c>
      <c r="L13" s="71">
        <f>Recettes!L11*L$6</f>
        <v>0</v>
      </c>
      <c r="M13" s="71">
        <f>Recettes!M11*M$6</f>
        <v>0</v>
      </c>
      <c r="N13" s="72">
        <f t="shared" si="0"/>
        <v>6.95</v>
      </c>
      <c r="O13" s="69">
        <f t="shared" si="1"/>
        <v>1</v>
      </c>
      <c r="P13" s="73">
        <f t="shared" si="2"/>
        <v>1</v>
      </c>
    </row>
    <row r="14" spans="2:16" x14ac:dyDescent="0.3">
      <c r="B14" s="74" t="str">
        <f>Recettes!B12</f>
        <v>foie chevreuil a integrer dans paté capagne</v>
      </c>
      <c r="C14" s="19" t="str">
        <f>Recettes!C12</f>
        <v>kg</v>
      </c>
      <c r="D14" s="75">
        <f>Recettes!D12*D$6</f>
        <v>0</v>
      </c>
      <c r="E14" s="75">
        <f>Recettes!E12*E$6</f>
        <v>0</v>
      </c>
      <c r="F14" s="75">
        <f>Recettes!F12*F$6</f>
        <v>0</v>
      </c>
      <c r="G14" s="75">
        <f>Recettes!G12*G$6</f>
        <v>0</v>
      </c>
      <c r="H14" s="75">
        <f>Recettes!H12*H$6</f>
        <v>0</v>
      </c>
      <c r="I14" s="75">
        <f>Recettes!I12*I$6</f>
        <v>0</v>
      </c>
      <c r="J14" s="75">
        <f>Recettes!J12*J$6</f>
        <v>0</v>
      </c>
      <c r="K14" s="75">
        <f>Recettes!K12*K$6</f>
        <v>0</v>
      </c>
      <c r="L14" s="75">
        <f>Recettes!L12*L$6</f>
        <v>0</v>
      </c>
      <c r="M14" s="75">
        <f>Recettes!M12*M$6</f>
        <v>0</v>
      </c>
      <c r="N14" s="76">
        <f t="shared" si="0"/>
        <v>0</v>
      </c>
      <c r="O14" s="69">
        <f t="shared" si="1"/>
        <v>1</v>
      </c>
      <c r="P14" s="73">
        <f t="shared" si="2"/>
        <v>1</v>
      </c>
    </row>
    <row r="15" spans="2:16" x14ac:dyDescent="0.3">
      <c r="B15" s="70" t="str">
        <f>Recettes!B13</f>
        <v>faisan</v>
      </c>
      <c r="C15" s="16" t="str">
        <f>Recettes!C13</f>
        <v>kg</v>
      </c>
      <c r="D15" s="71">
        <f>Recettes!D13*D$6</f>
        <v>0</v>
      </c>
      <c r="E15" s="71">
        <f>Recettes!E13*E$6</f>
        <v>0</v>
      </c>
      <c r="F15" s="71">
        <f>Recettes!F13*F$6</f>
        <v>0</v>
      </c>
      <c r="G15" s="71">
        <f>Recettes!G13*G$6</f>
        <v>13.7028</v>
      </c>
      <c r="H15" s="71">
        <f>Recettes!H13*H$6</f>
        <v>0</v>
      </c>
      <c r="I15" s="71">
        <f>Recettes!I13*I$6</f>
        <v>0</v>
      </c>
      <c r="J15" s="71">
        <f>Recettes!J13*J$6</f>
        <v>0</v>
      </c>
      <c r="K15" s="71">
        <f>Recettes!K13*K$6</f>
        <v>0</v>
      </c>
      <c r="L15" s="71">
        <f>Recettes!L13*L$6</f>
        <v>0</v>
      </c>
      <c r="M15" s="71">
        <f>Recettes!M13*M$6</f>
        <v>0</v>
      </c>
      <c r="N15" s="72">
        <f t="shared" si="0"/>
        <v>13.7028</v>
      </c>
      <c r="O15" s="69">
        <f t="shared" si="1"/>
        <v>1</v>
      </c>
      <c r="P15" s="73">
        <f t="shared" si="2"/>
        <v>1</v>
      </c>
    </row>
    <row r="16" spans="2:16" x14ac:dyDescent="0.3">
      <c r="B16" s="74" t="str">
        <f>Recettes!B14</f>
        <v>canard</v>
      </c>
      <c r="C16" s="19" t="str">
        <f>Recettes!C14</f>
        <v>kg</v>
      </c>
      <c r="D16" s="75">
        <f>Recettes!D14*D$6</f>
        <v>0</v>
      </c>
      <c r="E16" s="75">
        <f>Recettes!E14*E$6</f>
        <v>0</v>
      </c>
      <c r="F16" s="75">
        <f>Recettes!F14*F$6</f>
        <v>0</v>
      </c>
      <c r="G16" s="75">
        <f>Recettes!G14*G$6</f>
        <v>0</v>
      </c>
      <c r="H16" s="75">
        <f>Recettes!H14*H$6</f>
        <v>0</v>
      </c>
      <c r="I16" s="75">
        <f>Recettes!I14*I$6</f>
        <v>0</v>
      </c>
      <c r="J16" s="75">
        <f>Recettes!J14*J$6</f>
        <v>0</v>
      </c>
      <c r="K16" s="75">
        <f>Recettes!K14*K$6</f>
        <v>0</v>
      </c>
      <c r="L16" s="75">
        <f>Recettes!L14*L$6</f>
        <v>0</v>
      </c>
      <c r="M16" s="75">
        <f>Recettes!M14*M$6</f>
        <v>0</v>
      </c>
      <c r="N16" s="76">
        <f t="shared" si="0"/>
        <v>0</v>
      </c>
      <c r="O16" s="69">
        <f t="shared" si="1"/>
        <v>1</v>
      </c>
      <c r="P16" s="73">
        <f t="shared" si="2"/>
        <v>1</v>
      </c>
    </row>
    <row r="17" spans="2:16" x14ac:dyDescent="0.3">
      <c r="B17" s="70" t="str">
        <f>Recettes!B15</f>
        <v>lapin</v>
      </c>
      <c r="C17" s="16" t="str">
        <f>Recettes!C15</f>
        <v>kg</v>
      </c>
      <c r="D17" s="71">
        <f>Recettes!D15*D$6</f>
        <v>0</v>
      </c>
      <c r="E17" s="71">
        <f>Recettes!E15*E$6</f>
        <v>0</v>
      </c>
      <c r="F17" s="71">
        <f>Recettes!F15*F$6</f>
        <v>0</v>
      </c>
      <c r="G17" s="71">
        <f>Recettes!G15*G$6</f>
        <v>0</v>
      </c>
      <c r="H17" s="71">
        <f>Recettes!H15*H$6</f>
        <v>0</v>
      </c>
      <c r="I17" s="71">
        <f>Recettes!I15*I$6</f>
        <v>0</v>
      </c>
      <c r="J17" s="71">
        <f>Recettes!J15*J$6</f>
        <v>0</v>
      </c>
      <c r="K17" s="71">
        <f>Recettes!K15*K$6</f>
        <v>0</v>
      </c>
      <c r="L17" s="71">
        <f>Recettes!L15*L$6</f>
        <v>0</v>
      </c>
      <c r="M17" s="71">
        <f>Recettes!M15*M$6</f>
        <v>0</v>
      </c>
      <c r="N17" s="72">
        <f t="shared" si="0"/>
        <v>0</v>
      </c>
      <c r="O17" s="69">
        <f t="shared" si="1"/>
        <v>1</v>
      </c>
      <c r="P17" s="73">
        <f t="shared" si="2"/>
        <v>1</v>
      </c>
    </row>
    <row r="18" spans="2:16" x14ac:dyDescent="0.3">
      <c r="B18" s="74" t="str">
        <f>Recettes!B16</f>
        <v>bécasse</v>
      </c>
      <c r="C18" s="19" t="str">
        <f>Recettes!C16</f>
        <v>kg</v>
      </c>
      <c r="D18" s="75">
        <f>Recettes!D16*D$6</f>
        <v>0</v>
      </c>
      <c r="E18" s="75">
        <f>Recettes!E16*E$6</f>
        <v>0</v>
      </c>
      <c r="F18" s="75">
        <f>Recettes!F16*F$6</f>
        <v>0</v>
      </c>
      <c r="G18" s="75">
        <f>Recettes!G16*G$6</f>
        <v>0</v>
      </c>
      <c r="H18" s="75">
        <f>Recettes!H16*H$6</f>
        <v>0</v>
      </c>
      <c r="I18" s="75">
        <f>Recettes!I16*I$6</f>
        <v>0</v>
      </c>
      <c r="J18" s="75">
        <f>Recettes!J16*J$6</f>
        <v>0</v>
      </c>
      <c r="K18" s="75">
        <f>Recettes!K16*K$6</f>
        <v>0</v>
      </c>
      <c r="L18" s="75">
        <f>Recettes!L16*L$6</f>
        <v>0</v>
      </c>
      <c r="M18" s="75">
        <f>Recettes!M16*M$6</f>
        <v>0</v>
      </c>
      <c r="N18" s="76">
        <f t="shared" si="0"/>
        <v>0</v>
      </c>
      <c r="O18" s="69">
        <f t="shared" si="1"/>
        <v>1</v>
      </c>
      <c r="P18" s="73">
        <f t="shared" si="2"/>
        <v>1</v>
      </c>
    </row>
    <row r="19" spans="2:16" x14ac:dyDescent="0.3">
      <c r="B19" s="70" t="str">
        <f>Recettes!B17</f>
        <v>perdreaux</v>
      </c>
      <c r="C19" s="16" t="str">
        <f>Recettes!C17</f>
        <v>kg</v>
      </c>
      <c r="D19" s="71">
        <f>Recettes!D17*D$6</f>
        <v>0</v>
      </c>
      <c r="E19" s="71">
        <f>Recettes!E17*E$6</f>
        <v>0</v>
      </c>
      <c r="F19" s="71">
        <f>Recettes!F17*F$6</f>
        <v>0</v>
      </c>
      <c r="G19" s="71">
        <f>Recettes!G17*G$6</f>
        <v>0</v>
      </c>
      <c r="H19" s="71">
        <f>Recettes!H17*H$6</f>
        <v>0</v>
      </c>
      <c r="I19" s="71">
        <f>Recettes!I17*I$6</f>
        <v>0</v>
      </c>
      <c r="J19" s="71">
        <f>Recettes!J17*J$6</f>
        <v>0</v>
      </c>
      <c r="K19" s="71">
        <f>Recettes!K17*K$6</f>
        <v>0</v>
      </c>
      <c r="L19" s="71">
        <f>Recettes!L17*L$6</f>
        <v>0</v>
      </c>
      <c r="M19" s="71">
        <f>Recettes!M17*M$6</f>
        <v>0</v>
      </c>
      <c r="N19" s="72">
        <f t="shared" si="0"/>
        <v>0</v>
      </c>
      <c r="O19" s="69">
        <f t="shared" si="1"/>
        <v>1</v>
      </c>
      <c r="P19" s="73">
        <f t="shared" si="2"/>
        <v>1</v>
      </c>
    </row>
    <row r="20" spans="2:16" x14ac:dyDescent="0.3">
      <c r="B20" s="74" t="str">
        <f>Recettes!B18</f>
        <v>chevreiil civet</v>
      </c>
      <c r="C20" s="19" t="str">
        <f>Recettes!C18</f>
        <v>kg</v>
      </c>
      <c r="D20" s="75">
        <f>Recettes!D18*D$6</f>
        <v>0</v>
      </c>
      <c r="E20" s="75">
        <f>Recettes!E18*E$6</f>
        <v>0</v>
      </c>
      <c r="F20" s="75">
        <f>Recettes!F18*F$6</f>
        <v>0</v>
      </c>
      <c r="G20" s="75">
        <f>Recettes!G18*G$6</f>
        <v>0</v>
      </c>
      <c r="H20" s="75">
        <f>Recettes!H18*H$6</f>
        <v>0</v>
      </c>
      <c r="I20" s="75">
        <f>Recettes!I18*I$6</f>
        <v>0</v>
      </c>
      <c r="J20" s="75">
        <f>Recettes!J18*J$6</f>
        <v>0</v>
      </c>
      <c r="K20" s="75">
        <f>Recettes!K18*K$6</f>
        <v>0</v>
      </c>
      <c r="L20" s="75">
        <f>Recettes!L18*L$6</f>
        <v>0</v>
      </c>
      <c r="M20" s="75">
        <f>Recettes!M18*M$6</f>
        <v>8.1054999999999993</v>
      </c>
      <c r="N20" s="76">
        <f t="shared" si="0"/>
        <v>8.1054999999999993</v>
      </c>
      <c r="O20" s="69">
        <f t="shared" si="1"/>
        <v>1</v>
      </c>
      <c r="P20" s="73">
        <f t="shared" si="2"/>
        <v>1</v>
      </c>
    </row>
    <row r="21" spans="2:16" x14ac:dyDescent="0.3">
      <c r="B21" s="70" t="str">
        <f>Recettes!B19</f>
        <v>gorge de porc</v>
      </c>
      <c r="C21" s="16" t="str">
        <f>Recettes!C19</f>
        <v>kg</v>
      </c>
      <c r="D21" s="71">
        <f>Recettes!D19*D$6</f>
        <v>3.5548800000000007</v>
      </c>
      <c r="E21" s="71">
        <f>Recettes!E19*E$6</f>
        <v>8.7096</v>
      </c>
      <c r="F21" s="71">
        <f>Recettes!F19*F$6</f>
        <v>0</v>
      </c>
      <c r="G21" s="71">
        <f>Recettes!G19*G$6</f>
        <v>2.7405600000000003</v>
      </c>
      <c r="H21" s="71">
        <f>Recettes!H19*H$6</f>
        <v>0</v>
      </c>
      <c r="I21" s="71">
        <f>Recettes!I19*I$6</f>
        <v>6.95</v>
      </c>
      <c r="J21" s="71">
        <f>Recettes!J19*J$6</f>
        <v>0</v>
      </c>
      <c r="K21" s="71">
        <f>Recettes!K19*K$6</f>
        <v>0</v>
      </c>
      <c r="L21" s="71">
        <f>Recettes!L19*L$6</f>
        <v>0</v>
      </c>
      <c r="M21" s="71">
        <f>Recettes!M19*M$6</f>
        <v>0</v>
      </c>
      <c r="N21" s="72">
        <f t="shared" si="0"/>
        <v>21.95504</v>
      </c>
      <c r="O21" s="69">
        <f t="shared" si="1"/>
        <v>1</v>
      </c>
      <c r="P21" s="73">
        <f t="shared" si="2"/>
        <v>1</v>
      </c>
    </row>
    <row r="22" spans="2:16" x14ac:dyDescent="0.3">
      <c r="B22" s="74" t="str">
        <f>Recettes!B20</f>
        <v>ECHINE DE PORC</v>
      </c>
      <c r="C22" s="19" t="str">
        <f>Recettes!C20</f>
        <v>kg</v>
      </c>
      <c r="D22" s="75">
        <f>Recettes!D20*D$6</f>
        <v>0</v>
      </c>
      <c r="E22" s="75">
        <f>Recettes!E20*E$6</f>
        <v>0</v>
      </c>
      <c r="F22" s="75">
        <f>Recettes!F20*F$6</f>
        <v>0</v>
      </c>
      <c r="G22" s="75">
        <f>Recettes!G20*G$6</f>
        <v>0</v>
      </c>
      <c r="H22" s="75">
        <f>Recettes!H20*H$6</f>
        <v>0</v>
      </c>
      <c r="I22" s="75">
        <f>Recettes!I20*I$6</f>
        <v>0</v>
      </c>
      <c r="J22" s="75">
        <f>Recettes!J20*J$6</f>
        <v>0</v>
      </c>
      <c r="K22" s="75">
        <f>Recettes!K20*K$6</f>
        <v>0</v>
      </c>
      <c r="L22" s="75">
        <f>Recettes!L20*L$6</f>
        <v>0</v>
      </c>
      <c r="M22" s="75">
        <f>Recettes!M20*M$6</f>
        <v>0</v>
      </c>
      <c r="N22" s="76">
        <f t="shared" si="0"/>
        <v>0</v>
      </c>
      <c r="O22" s="69">
        <f t="shared" si="1"/>
        <v>1</v>
      </c>
      <c r="P22" s="73">
        <f t="shared" si="2"/>
        <v>1</v>
      </c>
    </row>
    <row r="23" spans="2:16" x14ac:dyDescent="0.3">
      <c r="B23" s="70" t="str">
        <f>Recettes!B21</f>
        <v>lard GRAS</v>
      </c>
      <c r="C23" s="16" t="str">
        <f>Recettes!C21</f>
        <v>kg</v>
      </c>
      <c r="D23" s="71">
        <f>Recettes!D21*D$6</f>
        <v>0</v>
      </c>
      <c r="E23" s="71">
        <f>Recettes!E21*E$6</f>
        <v>0</v>
      </c>
      <c r="F23" s="71">
        <f>Recettes!F21*F$6</f>
        <v>0</v>
      </c>
      <c r="G23" s="71">
        <f>Recettes!G21*G$6</f>
        <v>0</v>
      </c>
      <c r="H23" s="71">
        <f>Recettes!H21*H$6</f>
        <v>0</v>
      </c>
      <c r="I23" s="71">
        <f>Recettes!I21*I$6</f>
        <v>0</v>
      </c>
      <c r="J23" s="71">
        <f>Recettes!J21*J$6</f>
        <v>0</v>
      </c>
      <c r="K23" s="71">
        <f>Recettes!K21*K$6</f>
        <v>0</v>
      </c>
      <c r="L23" s="71">
        <f>Recettes!L21*L$6</f>
        <v>0</v>
      </c>
      <c r="M23" s="71">
        <f>Recettes!M21*M$6</f>
        <v>0</v>
      </c>
      <c r="N23" s="72">
        <f t="shared" si="0"/>
        <v>0</v>
      </c>
      <c r="O23" s="69">
        <f t="shared" si="1"/>
        <v>1</v>
      </c>
      <c r="P23" s="73">
        <f t="shared" si="2"/>
        <v>1</v>
      </c>
    </row>
    <row r="24" spans="2:16" x14ac:dyDescent="0.3">
      <c r="B24" s="74" t="str">
        <f>Recettes!B22</f>
        <v>poitrine de porc</v>
      </c>
      <c r="C24" s="19" t="str">
        <f>Recettes!C22</f>
        <v>kg</v>
      </c>
      <c r="D24" s="75">
        <f>Recettes!D22*D$6</f>
        <v>0</v>
      </c>
      <c r="E24" s="75">
        <f>Recettes!E22*E$6</f>
        <v>0</v>
      </c>
      <c r="F24" s="75">
        <f>Recettes!F22*F$6</f>
        <v>0</v>
      </c>
      <c r="G24" s="75">
        <f>Recettes!G22*G$6</f>
        <v>0</v>
      </c>
      <c r="H24" s="75">
        <f>Recettes!H22*H$6</f>
        <v>0</v>
      </c>
      <c r="I24" s="75">
        <f>Recettes!I22*I$6</f>
        <v>0</v>
      </c>
      <c r="J24" s="75">
        <f>Recettes!J22*J$6</f>
        <v>0</v>
      </c>
      <c r="K24" s="75">
        <f>Recettes!K22*K$6</f>
        <v>0</v>
      </c>
      <c r="L24" s="75">
        <f>Recettes!L22*L$6</f>
        <v>0</v>
      </c>
      <c r="M24" s="75">
        <f>Recettes!M22*M$6</f>
        <v>3.2422</v>
      </c>
      <c r="N24" s="76">
        <f t="shared" si="0"/>
        <v>3.2422</v>
      </c>
      <c r="O24" s="69">
        <f t="shared" si="1"/>
        <v>1</v>
      </c>
      <c r="P24" s="73">
        <f t="shared" si="2"/>
        <v>1</v>
      </c>
    </row>
    <row r="25" spans="2:16" x14ac:dyDescent="0.3">
      <c r="B25" s="70" t="str">
        <f>Recettes!B23</f>
        <v>poitrine fumée</v>
      </c>
      <c r="C25" s="16" t="str">
        <f>Recettes!C23</f>
        <v>kg</v>
      </c>
      <c r="D25" s="71">
        <f>Recettes!D23*D$6</f>
        <v>0</v>
      </c>
      <c r="E25" s="71">
        <f>Recettes!E23*E$6</f>
        <v>0</v>
      </c>
      <c r="F25" s="71">
        <f>Recettes!F23*F$6</f>
        <v>0</v>
      </c>
      <c r="G25" s="71">
        <f>Recettes!G23*G$6</f>
        <v>0</v>
      </c>
      <c r="H25" s="71">
        <f>Recettes!H23*H$6</f>
        <v>0</v>
      </c>
      <c r="I25" s="71">
        <f>Recettes!I23*I$6</f>
        <v>0</v>
      </c>
      <c r="J25" s="71">
        <f>Recettes!J23*J$6</f>
        <v>0</v>
      </c>
      <c r="K25" s="71">
        <f>Recettes!K23*K$6</f>
        <v>0</v>
      </c>
      <c r="L25" s="71">
        <f>Recettes!L23*L$6</f>
        <v>0</v>
      </c>
      <c r="M25" s="71">
        <f>Recettes!M23*M$6</f>
        <v>0</v>
      </c>
      <c r="N25" s="72">
        <f t="shared" si="0"/>
        <v>0</v>
      </c>
      <c r="O25" s="69">
        <f t="shared" si="1"/>
        <v>1</v>
      </c>
      <c r="P25" s="73">
        <f t="shared" si="2"/>
        <v>1</v>
      </c>
    </row>
    <row r="26" spans="2:16" x14ac:dyDescent="0.3">
      <c r="B26" s="74" t="str">
        <f>Recettes!B24</f>
        <v>chair à saucisse</v>
      </c>
      <c r="C26" s="19" t="str">
        <f>Recettes!C24</f>
        <v>kg</v>
      </c>
      <c r="D26" s="75">
        <f>Recettes!D24*D$6</f>
        <v>0</v>
      </c>
      <c r="E26" s="75">
        <f>Recettes!E24*E$6</f>
        <v>0</v>
      </c>
      <c r="F26" s="75">
        <f>Recettes!F24*F$6</f>
        <v>0</v>
      </c>
      <c r="G26" s="75">
        <f>Recettes!G24*G$6</f>
        <v>0</v>
      </c>
      <c r="H26" s="75">
        <f>Recettes!H24*H$6</f>
        <v>0</v>
      </c>
      <c r="I26" s="75">
        <f>Recettes!I24*I$6</f>
        <v>0</v>
      </c>
      <c r="J26" s="75">
        <f>Recettes!J24*J$6</f>
        <v>0</v>
      </c>
      <c r="K26" s="75">
        <f>Recettes!K24*K$6</f>
        <v>0</v>
      </c>
      <c r="L26" s="75">
        <f>Recettes!L24*L$6</f>
        <v>0</v>
      </c>
      <c r="M26" s="75">
        <f>Recettes!M24*M$6</f>
        <v>0</v>
      </c>
      <c r="N26" s="76">
        <f t="shared" si="0"/>
        <v>0</v>
      </c>
      <c r="O26" s="69">
        <f t="shared" si="1"/>
        <v>1</v>
      </c>
      <c r="P26" s="73">
        <f t="shared" si="2"/>
        <v>1</v>
      </c>
    </row>
    <row r="27" spans="2:16" x14ac:dyDescent="0.3">
      <c r="B27" s="70" t="str">
        <f>Recettes!B25</f>
        <v>barde</v>
      </c>
      <c r="C27" s="16" t="str">
        <f>Recettes!C25</f>
        <v>m2</v>
      </c>
      <c r="D27" s="71">
        <f>Recettes!D25*D$6</f>
        <v>0</v>
      </c>
      <c r="E27" s="71">
        <f>Recettes!E25*E$6</f>
        <v>0</v>
      </c>
      <c r="F27" s="71">
        <f>Recettes!F25*F$6</f>
        <v>0</v>
      </c>
      <c r="G27" s="71">
        <f>Recettes!G25*G$6</f>
        <v>0</v>
      </c>
      <c r="H27" s="71">
        <f>Recettes!H25*H$6</f>
        <v>0</v>
      </c>
      <c r="I27" s="71">
        <f>Recettes!I25*I$6</f>
        <v>0</v>
      </c>
      <c r="J27" s="71">
        <f>Recettes!J25*J$6</f>
        <v>0</v>
      </c>
      <c r="K27" s="71">
        <f>Recettes!K25*K$6</f>
        <v>0</v>
      </c>
      <c r="L27" s="71">
        <f>Recettes!L25*L$6</f>
        <v>0</v>
      </c>
      <c r="M27" s="71">
        <f>Recettes!M25*M$6</f>
        <v>0</v>
      </c>
      <c r="N27" s="72">
        <f t="shared" si="0"/>
        <v>0</v>
      </c>
      <c r="O27" s="69">
        <f t="shared" si="1"/>
        <v>1</v>
      </c>
      <c r="P27" s="73">
        <f t="shared" si="2"/>
        <v>0</v>
      </c>
    </row>
    <row r="28" spans="2:16" x14ac:dyDescent="0.3">
      <c r="B28" s="74" t="str">
        <f>Recettes!B26</f>
        <v>VEAU poitrine</v>
      </c>
      <c r="C28" s="19" t="str">
        <f>Recettes!C26</f>
        <v>kg</v>
      </c>
      <c r="D28" s="75">
        <f>Recettes!D26*D$6</f>
        <v>0</v>
      </c>
      <c r="E28" s="75">
        <f>Recettes!E26*E$6</f>
        <v>0</v>
      </c>
      <c r="F28" s="75">
        <f>Recettes!F26*F$6</f>
        <v>0</v>
      </c>
      <c r="G28" s="75">
        <f>Recettes!G26*G$6</f>
        <v>3.4257</v>
      </c>
      <c r="H28" s="75">
        <f>Recettes!H26*H$6</f>
        <v>0</v>
      </c>
      <c r="I28" s="75">
        <f>Recettes!I26*I$6</f>
        <v>0</v>
      </c>
      <c r="J28" s="75">
        <f>Recettes!J26*J$6</f>
        <v>0</v>
      </c>
      <c r="K28" s="75">
        <f>Recettes!K26*K$6</f>
        <v>0</v>
      </c>
      <c r="L28" s="75">
        <f>Recettes!L26*L$6</f>
        <v>0</v>
      </c>
      <c r="M28" s="75">
        <f>Recettes!M26*M$6</f>
        <v>0</v>
      </c>
      <c r="N28" s="76">
        <f t="shared" si="0"/>
        <v>3.4257</v>
      </c>
      <c r="O28" s="69">
        <f t="shared" si="1"/>
        <v>1</v>
      </c>
      <c r="P28" s="73">
        <f t="shared" si="2"/>
        <v>1</v>
      </c>
    </row>
    <row r="29" spans="2:16" x14ac:dyDescent="0.3">
      <c r="B29" s="70" t="str">
        <f>Recettes!B27</f>
        <v>foie de volailles</v>
      </c>
      <c r="C29" s="16" t="str">
        <f>Recettes!C27</f>
        <v>kg</v>
      </c>
      <c r="D29" s="71">
        <f>Recettes!D27*D$6</f>
        <v>0</v>
      </c>
      <c r="E29" s="71">
        <f>Recettes!E27*E$6</f>
        <v>0</v>
      </c>
      <c r="F29" s="71">
        <f>Recettes!F27*F$6</f>
        <v>0</v>
      </c>
      <c r="G29" s="71">
        <f>Recettes!G27*G$6</f>
        <v>0</v>
      </c>
      <c r="H29" s="71">
        <f>Recettes!H27*H$6</f>
        <v>0</v>
      </c>
      <c r="I29" s="71">
        <f>Recettes!I27*I$6</f>
        <v>0</v>
      </c>
      <c r="J29" s="71">
        <f>Recettes!J27*J$6</f>
        <v>0</v>
      </c>
      <c r="K29" s="71">
        <f>Recettes!K27*K$6</f>
        <v>0</v>
      </c>
      <c r="L29" s="71">
        <f>Recettes!L27*L$6</f>
        <v>0</v>
      </c>
      <c r="M29" s="71">
        <f>Recettes!M27*M$6</f>
        <v>0</v>
      </c>
      <c r="N29" s="72">
        <f t="shared" si="0"/>
        <v>0</v>
      </c>
      <c r="O29" s="69">
        <f t="shared" si="1"/>
        <v>1</v>
      </c>
      <c r="P29" s="73">
        <f t="shared" si="2"/>
        <v>1</v>
      </c>
    </row>
    <row r="30" spans="2:16" x14ac:dyDescent="0.3">
      <c r="B30" s="74" t="str">
        <f>Recettes!B28</f>
        <v>saindoux</v>
      </c>
      <c r="C30" s="19" t="str">
        <f>Recettes!C28</f>
        <v>kg</v>
      </c>
      <c r="D30" s="75">
        <f>Recettes!D28*D$6</f>
        <v>0</v>
      </c>
      <c r="E30" s="75">
        <f>Recettes!E28*E$6</f>
        <v>0</v>
      </c>
      <c r="F30" s="75">
        <f>Recettes!F28*F$6</f>
        <v>0</v>
      </c>
      <c r="G30" s="75">
        <f>Recettes!G28*G$6</f>
        <v>0</v>
      </c>
      <c r="H30" s="75">
        <f>Recettes!H28*H$6</f>
        <v>0</v>
      </c>
      <c r="I30" s="75">
        <f>Recettes!I28*I$6</f>
        <v>0</v>
      </c>
      <c r="J30" s="75">
        <f>Recettes!J28*J$6</f>
        <v>0</v>
      </c>
      <c r="K30" s="75">
        <f>Recettes!K28*K$6</f>
        <v>0</v>
      </c>
      <c r="L30" s="75">
        <f>Recettes!L28*L$6</f>
        <v>0</v>
      </c>
      <c r="M30" s="75">
        <f>Recettes!M28*M$6</f>
        <v>0</v>
      </c>
      <c r="N30" s="76">
        <f t="shared" si="0"/>
        <v>0</v>
      </c>
      <c r="O30" s="69">
        <f t="shared" si="1"/>
        <v>1</v>
      </c>
      <c r="P30" s="73">
        <f t="shared" si="2"/>
        <v>1</v>
      </c>
    </row>
    <row r="31" spans="2:16" x14ac:dyDescent="0.3">
      <c r="B31" s="70" t="str">
        <f>Recettes!B29</f>
        <v>sel</v>
      </c>
      <c r="C31" s="16" t="str">
        <f>Recettes!C29</f>
        <v>kg</v>
      </c>
      <c r="D31" s="71">
        <f>Recettes!D29*D$6</f>
        <v>7.1097600000000011E-2</v>
      </c>
      <c r="E31" s="71">
        <f>Recettes!E29*E$6</f>
        <v>0.17419200000000001</v>
      </c>
      <c r="F31" s="71">
        <f>Recettes!F29*F$6</f>
        <v>0</v>
      </c>
      <c r="G31" s="71">
        <f>Recettes!G29*G$6</f>
        <v>0.16443360000000001</v>
      </c>
      <c r="H31" s="71">
        <f>Recettes!H29*H$6</f>
        <v>0</v>
      </c>
      <c r="I31" s="71">
        <f>Recettes!I29*I$6</f>
        <v>8.3400000000000002E-2</v>
      </c>
      <c r="J31" s="71">
        <f>Recettes!J29*J$6</f>
        <v>0</v>
      </c>
      <c r="K31" s="71">
        <f>Recettes!K29*K$6</f>
        <v>0</v>
      </c>
      <c r="L31" s="71">
        <f>Recettes!L29*L$6</f>
        <v>0</v>
      </c>
      <c r="M31" s="71">
        <f>Recettes!M29*M$6</f>
        <v>9.7265999999999991E-2</v>
      </c>
      <c r="N31" s="72">
        <f t="shared" si="0"/>
        <v>0.59038920000000006</v>
      </c>
      <c r="O31" s="69">
        <f t="shared" si="1"/>
        <v>1</v>
      </c>
      <c r="P31" s="73">
        <f t="shared" si="2"/>
        <v>1</v>
      </c>
    </row>
    <row r="32" spans="2:16" x14ac:dyDescent="0.3">
      <c r="B32" s="74" t="str">
        <f>Recettes!B30</f>
        <v>poivre</v>
      </c>
      <c r="C32" s="19" t="str">
        <f>Recettes!C30</f>
        <v>kg</v>
      </c>
      <c r="D32" s="75">
        <f>Recettes!D30*D$6</f>
        <v>1.1849600000000002E-2</v>
      </c>
      <c r="E32" s="75">
        <f>Recettes!E30*E$6</f>
        <v>2.9032000000000006E-2</v>
      </c>
      <c r="F32" s="75">
        <f>Recettes!F30*F$6</f>
        <v>0</v>
      </c>
      <c r="G32" s="75">
        <f>Recettes!G30*G$6</f>
        <v>2.7405599999999999E-2</v>
      </c>
      <c r="H32" s="75">
        <f>Recettes!H30*H$6</f>
        <v>0</v>
      </c>
      <c r="I32" s="75">
        <f>Recettes!I30*I$6</f>
        <v>1.3900000000000001E-2</v>
      </c>
      <c r="J32" s="75">
        <f>Recettes!J30*J$6</f>
        <v>0</v>
      </c>
      <c r="K32" s="75">
        <f>Recettes!K30*K$6</f>
        <v>0</v>
      </c>
      <c r="L32" s="75">
        <f>Recettes!L30*L$6</f>
        <v>0</v>
      </c>
      <c r="M32" s="75">
        <f>Recettes!M30*M$6</f>
        <v>1.6211E-2</v>
      </c>
      <c r="N32" s="76">
        <f t="shared" si="0"/>
        <v>9.8398200000000005E-2</v>
      </c>
      <c r="O32" s="69">
        <f t="shared" si="1"/>
        <v>1</v>
      </c>
      <c r="P32" s="73">
        <f t="shared" si="2"/>
        <v>1</v>
      </c>
    </row>
    <row r="33" spans="2:16" x14ac:dyDescent="0.3">
      <c r="B33" s="70" t="str">
        <f>Recettes!B31</f>
        <v>sucre</v>
      </c>
      <c r="C33" s="16" t="str">
        <f>Recettes!C31</f>
        <v>kg</v>
      </c>
      <c r="D33" s="71">
        <f>Recettes!D31*D$6</f>
        <v>2.9624000000000008E-2</v>
      </c>
      <c r="E33" s="71">
        <f>Recettes!E31*E$6</f>
        <v>7.2580000000000006E-2</v>
      </c>
      <c r="F33" s="71">
        <f>Recettes!F31*F$6</f>
        <v>0</v>
      </c>
      <c r="G33" s="71">
        <f>Recettes!G31*G$6</f>
        <v>6.8514000000000005E-2</v>
      </c>
      <c r="H33" s="71">
        <f>Recettes!H31*H$6</f>
        <v>0</v>
      </c>
      <c r="I33" s="71">
        <f>Recettes!I31*I$6</f>
        <v>3.4750000000000003E-2</v>
      </c>
      <c r="J33" s="71">
        <f>Recettes!J31*J$6</f>
        <v>0</v>
      </c>
      <c r="K33" s="71">
        <f>Recettes!K31*K$6</f>
        <v>0</v>
      </c>
      <c r="L33" s="71">
        <f>Recettes!L31*L$6</f>
        <v>0</v>
      </c>
      <c r="M33" s="71">
        <f>Recettes!M31*M$6</f>
        <v>0</v>
      </c>
      <c r="N33" s="72">
        <f t="shared" si="0"/>
        <v>0.20546800000000004</v>
      </c>
      <c r="O33" s="69">
        <f t="shared" si="1"/>
        <v>1</v>
      </c>
      <c r="P33" s="73">
        <f t="shared" si="2"/>
        <v>1</v>
      </c>
    </row>
    <row r="34" spans="2:16" x14ac:dyDescent="0.3">
      <c r="B34" s="74" t="str">
        <f>Recettes!B32</f>
        <v>4 épices</v>
      </c>
      <c r="C34" s="19" t="str">
        <f>Recettes!C32</f>
        <v>g</v>
      </c>
      <c r="D34" s="75">
        <f>Recettes!D32*D$6</f>
        <v>1.7774400000000004</v>
      </c>
      <c r="E34" s="75">
        <f>Recettes!E32*E$6</f>
        <v>4.3548</v>
      </c>
      <c r="F34" s="75">
        <f>Recettes!F32*F$6</f>
        <v>0</v>
      </c>
      <c r="G34" s="75">
        <f>Recettes!G32*G$6</f>
        <v>4.1108399999999996</v>
      </c>
      <c r="H34" s="75">
        <f>Recettes!H32*H$6</f>
        <v>0</v>
      </c>
      <c r="I34" s="75">
        <f>Recettes!I32*I$6</f>
        <v>2.085</v>
      </c>
      <c r="J34" s="75">
        <f>Recettes!J32*J$6</f>
        <v>0</v>
      </c>
      <c r="K34" s="75">
        <f>Recettes!K32*K$6</f>
        <v>0</v>
      </c>
      <c r="L34" s="75">
        <f>Recettes!L32*L$6</f>
        <v>0</v>
      </c>
      <c r="M34" s="75">
        <f>Recettes!M32*M$6</f>
        <v>2.4316499999999999</v>
      </c>
      <c r="N34" s="76">
        <f t="shared" si="0"/>
        <v>14.759729999999999</v>
      </c>
      <c r="O34" s="69">
        <f t="shared" si="1"/>
        <v>1E-3</v>
      </c>
      <c r="P34" s="73">
        <f t="shared" si="2"/>
        <v>1E-3</v>
      </c>
    </row>
    <row r="35" spans="2:16" x14ac:dyDescent="0.3">
      <c r="B35" s="70" t="str">
        <f>Recettes!B33</f>
        <v>poivre vert</v>
      </c>
      <c r="C35" s="16" t="str">
        <f>Recettes!C33</f>
        <v>g</v>
      </c>
      <c r="D35" s="71">
        <f>Recettes!D33*D$6</f>
        <v>0</v>
      </c>
      <c r="E35" s="71">
        <f>Recettes!E33*E$6</f>
        <v>0</v>
      </c>
      <c r="F35" s="71">
        <f>Recettes!F33*F$6</f>
        <v>0</v>
      </c>
      <c r="G35" s="71">
        <f>Recettes!G33*G$6</f>
        <v>0</v>
      </c>
      <c r="H35" s="71">
        <f>Recettes!H33*H$6</f>
        <v>0</v>
      </c>
      <c r="I35" s="71">
        <f>Recettes!I33*I$6</f>
        <v>34.75</v>
      </c>
      <c r="J35" s="71">
        <f>Recettes!J33*J$6</f>
        <v>0</v>
      </c>
      <c r="K35" s="71">
        <f>Recettes!K33*K$6</f>
        <v>0</v>
      </c>
      <c r="L35" s="71">
        <f>Recettes!L33*L$6</f>
        <v>0</v>
      </c>
      <c r="M35" s="71">
        <f>Recettes!M33*M$6</f>
        <v>0</v>
      </c>
      <c r="N35" s="72">
        <f t="shared" si="0"/>
        <v>34.75</v>
      </c>
      <c r="O35" s="69">
        <f t="shared" si="1"/>
        <v>1E-3</v>
      </c>
      <c r="P35" s="73">
        <f t="shared" si="2"/>
        <v>1E-3</v>
      </c>
    </row>
    <row r="36" spans="2:16" x14ac:dyDescent="0.3">
      <c r="B36" s="74" t="str">
        <f>Recettes!B34</f>
        <v>clous de girofle</v>
      </c>
      <c r="C36" s="19" t="str">
        <f>Recettes!C34</f>
        <v>u</v>
      </c>
      <c r="D36" s="75">
        <f>Recettes!D34*D$6</f>
        <v>0</v>
      </c>
      <c r="E36" s="75">
        <f>Recettes!E34*E$6</f>
        <v>0</v>
      </c>
      <c r="F36" s="75">
        <f>Recettes!F34*F$6</f>
        <v>0</v>
      </c>
      <c r="G36" s="75">
        <f>Recettes!G34*G$6</f>
        <v>0</v>
      </c>
      <c r="H36" s="75">
        <f>Recettes!H34*H$6</f>
        <v>0</v>
      </c>
      <c r="I36" s="75">
        <f>Recettes!I34*I$6</f>
        <v>0</v>
      </c>
      <c r="J36" s="75">
        <f>Recettes!J34*J$6</f>
        <v>0</v>
      </c>
      <c r="K36" s="75">
        <f>Recettes!K34*K$6</f>
        <v>0</v>
      </c>
      <c r="L36" s="75">
        <f>Recettes!L34*L$6</f>
        <v>0</v>
      </c>
      <c r="M36" s="75">
        <f>Recettes!M34*M$6</f>
        <v>0</v>
      </c>
      <c r="N36" s="76">
        <f t="shared" si="0"/>
        <v>0</v>
      </c>
      <c r="O36" s="69">
        <f t="shared" si="1"/>
        <v>1</v>
      </c>
      <c r="P36" s="73">
        <f t="shared" si="2"/>
        <v>0</v>
      </c>
    </row>
    <row r="37" spans="2:16" x14ac:dyDescent="0.3">
      <c r="B37" s="70" t="str">
        <f>Recettes!B35</f>
        <v>huile d'olive</v>
      </c>
      <c r="C37" s="16" t="str">
        <f>Recettes!C35</f>
        <v>l</v>
      </c>
      <c r="D37" s="71">
        <f>Recettes!D35*D$6</f>
        <v>0</v>
      </c>
      <c r="E37" s="71">
        <f>Recettes!E35*E$6</f>
        <v>0</v>
      </c>
      <c r="F37" s="71">
        <f>Recettes!F35*F$6</f>
        <v>0</v>
      </c>
      <c r="G37" s="71">
        <f>Recettes!G35*G$6</f>
        <v>0</v>
      </c>
      <c r="H37" s="71">
        <f>Recettes!H35*H$6</f>
        <v>0</v>
      </c>
      <c r="I37" s="71">
        <f>Recettes!I35*I$6</f>
        <v>0</v>
      </c>
      <c r="J37" s="71">
        <f>Recettes!J35*J$6</f>
        <v>0</v>
      </c>
      <c r="K37" s="71">
        <f>Recettes!K35*K$6</f>
        <v>0</v>
      </c>
      <c r="L37" s="71">
        <f>Recettes!L35*L$6</f>
        <v>0</v>
      </c>
      <c r="M37" s="71">
        <f>Recettes!M35*M$6</f>
        <v>8.1054999999999988E-2</v>
      </c>
      <c r="N37" s="72">
        <f t="shared" si="0"/>
        <v>8.1054999999999988E-2</v>
      </c>
      <c r="O37" s="69">
        <f t="shared" si="1"/>
        <v>1</v>
      </c>
      <c r="P37" s="73">
        <f t="shared" si="2"/>
        <v>1</v>
      </c>
    </row>
    <row r="38" spans="2:16" x14ac:dyDescent="0.3">
      <c r="B38" s="74" t="str">
        <f>Recettes!B36</f>
        <v>vinaigre de vin</v>
      </c>
      <c r="C38" s="19" t="str">
        <f>Recettes!C36</f>
        <v>l</v>
      </c>
      <c r="D38" s="75">
        <f>Recettes!D36*D$6</f>
        <v>0</v>
      </c>
      <c r="E38" s="75">
        <f>Recettes!E36*E$6</f>
        <v>0</v>
      </c>
      <c r="F38" s="75">
        <f>Recettes!F36*F$6</f>
        <v>0</v>
      </c>
      <c r="G38" s="75">
        <f>Recettes!G36*G$6</f>
        <v>0</v>
      </c>
      <c r="H38" s="75">
        <f>Recettes!H36*H$6</f>
        <v>0</v>
      </c>
      <c r="I38" s="75">
        <f>Recettes!I36*I$6</f>
        <v>0</v>
      </c>
      <c r="J38" s="75">
        <f>Recettes!J36*J$6</f>
        <v>0</v>
      </c>
      <c r="K38" s="75">
        <f>Recettes!K36*K$6</f>
        <v>0</v>
      </c>
      <c r="L38" s="75">
        <f>Recettes!L36*L$6</f>
        <v>0</v>
      </c>
      <c r="M38" s="75">
        <f>Recettes!M36*M$6</f>
        <v>0</v>
      </c>
      <c r="N38" s="76">
        <f t="shared" si="0"/>
        <v>0</v>
      </c>
      <c r="O38" s="69">
        <f t="shared" si="1"/>
        <v>1</v>
      </c>
      <c r="P38" s="73">
        <f t="shared" si="2"/>
        <v>1</v>
      </c>
    </row>
    <row r="39" spans="2:16" x14ac:dyDescent="0.3">
      <c r="B39" s="70" t="str">
        <f>Recettes!B37</f>
        <v>cacao vanhouten</v>
      </c>
      <c r="C39" s="16" t="str">
        <f>Recettes!C37</f>
        <v>CS</v>
      </c>
      <c r="D39" s="71">
        <f>Recettes!D37*D$6</f>
        <v>0</v>
      </c>
      <c r="E39" s="71">
        <f>Recettes!E37*E$6</f>
        <v>7.2580000000000009</v>
      </c>
      <c r="F39" s="71">
        <f>Recettes!F37*F$6</f>
        <v>0</v>
      </c>
      <c r="G39" s="71">
        <f>Recettes!G37*G$6</f>
        <v>0</v>
      </c>
      <c r="H39" s="71">
        <f>Recettes!H37*H$6</f>
        <v>0</v>
      </c>
      <c r="I39" s="71">
        <f>Recettes!I37*I$6</f>
        <v>0</v>
      </c>
      <c r="J39" s="71">
        <f>Recettes!J37*J$6</f>
        <v>0</v>
      </c>
      <c r="K39" s="71">
        <f>Recettes!K37*K$6</f>
        <v>0</v>
      </c>
      <c r="L39" s="71">
        <f>Recettes!L37*L$6</f>
        <v>0</v>
      </c>
      <c r="M39" s="71">
        <f>Recettes!M37*M$6</f>
        <v>0</v>
      </c>
      <c r="N39" s="72">
        <f t="shared" si="0"/>
        <v>7.2580000000000009</v>
      </c>
      <c r="O39" s="69">
        <f t="shared" si="1"/>
        <v>1</v>
      </c>
      <c r="P39" s="73">
        <f t="shared" si="2"/>
        <v>0</v>
      </c>
    </row>
    <row r="40" spans="2:16" x14ac:dyDescent="0.3">
      <c r="B40" s="74" t="str">
        <f>Recettes!B38</f>
        <v>carottes pour bocaux</v>
      </c>
      <c r="C40" s="19" t="str">
        <f>Recettes!C38</f>
        <v>u</v>
      </c>
      <c r="D40" s="75">
        <f>Recettes!D38*D$6</f>
        <v>2.9624000000000006</v>
      </c>
      <c r="E40" s="75">
        <f>Recettes!E38*E$6</f>
        <v>7.2580000000000009</v>
      </c>
      <c r="F40" s="75">
        <f>Recettes!F38*F$6</f>
        <v>0</v>
      </c>
      <c r="G40" s="75">
        <f>Recettes!G38*G$6</f>
        <v>6.8513999999999999</v>
      </c>
      <c r="H40" s="75">
        <f>Recettes!H38*H$6</f>
        <v>0</v>
      </c>
      <c r="I40" s="75">
        <f>Recettes!I38*I$6</f>
        <v>3.4750000000000001</v>
      </c>
      <c r="J40" s="75">
        <f>Recettes!J38*J$6</f>
        <v>0</v>
      </c>
      <c r="K40" s="75">
        <f>Recettes!K38*K$6</f>
        <v>0</v>
      </c>
      <c r="L40" s="75">
        <f>Recettes!L38*L$6</f>
        <v>0</v>
      </c>
      <c r="M40" s="75">
        <f>Recettes!M38*M$6</f>
        <v>0</v>
      </c>
      <c r="N40" s="76">
        <f t="shared" si="0"/>
        <v>20.546800000000005</v>
      </c>
      <c r="O40" s="69">
        <f t="shared" si="1"/>
        <v>1</v>
      </c>
      <c r="P40" s="73">
        <f t="shared" si="2"/>
        <v>0</v>
      </c>
    </row>
    <row r="41" spans="2:16" x14ac:dyDescent="0.3">
      <c r="B41" s="70" t="str">
        <f>Recettes!B39</f>
        <v>carottes nouvelles</v>
      </c>
      <c r="C41" s="16" t="str">
        <f>Recettes!C39</f>
        <v>kg</v>
      </c>
      <c r="D41" s="71">
        <f>Recettes!D39*D$6</f>
        <v>0</v>
      </c>
      <c r="E41" s="71">
        <f>Recettes!E39*E$6</f>
        <v>0</v>
      </c>
      <c r="F41" s="71">
        <f>Recettes!F39*F$6</f>
        <v>0</v>
      </c>
      <c r="G41" s="71">
        <f>Recettes!G39*G$6</f>
        <v>0</v>
      </c>
      <c r="H41" s="71">
        <f>Recettes!H39*H$6</f>
        <v>0</v>
      </c>
      <c r="I41" s="71">
        <f>Recettes!I39*I$6</f>
        <v>0</v>
      </c>
      <c r="J41" s="71">
        <f>Recettes!J39*J$6</f>
        <v>0</v>
      </c>
      <c r="K41" s="71">
        <f>Recettes!K39*K$6</f>
        <v>0</v>
      </c>
      <c r="L41" s="71">
        <f>Recettes!L39*L$6</f>
        <v>0</v>
      </c>
      <c r="M41" s="71">
        <f>Recettes!M39*M$6</f>
        <v>6.0791249999999994</v>
      </c>
      <c r="N41" s="72">
        <f t="shared" si="0"/>
        <v>6.0791249999999994</v>
      </c>
      <c r="O41" s="69">
        <f t="shared" si="1"/>
        <v>1</v>
      </c>
      <c r="P41" s="73">
        <f t="shared" si="2"/>
        <v>1</v>
      </c>
    </row>
    <row r="42" spans="2:16" x14ac:dyDescent="0.3">
      <c r="B42" s="74" t="str">
        <f>Recettes!B40</f>
        <v>gingembre</v>
      </c>
      <c r="C42" s="19" t="str">
        <f>Recettes!C40</f>
        <v>CC</v>
      </c>
      <c r="D42" s="75">
        <f>Recettes!D40*D$6</f>
        <v>0</v>
      </c>
      <c r="E42" s="75">
        <f>Recettes!E40*E$6</f>
        <v>0</v>
      </c>
      <c r="F42" s="75">
        <f>Recettes!F40*F$6</f>
        <v>0</v>
      </c>
      <c r="G42" s="75">
        <f>Recettes!G40*G$6</f>
        <v>0</v>
      </c>
      <c r="H42" s="75">
        <f>Recettes!H40*H$6</f>
        <v>0</v>
      </c>
      <c r="I42" s="75">
        <f>Recettes!I40*I$6</f>
        <v>0</v>
      </c>
      <c r="J42" s="75">
        <f>Recettes!J40*J$6</f>
        <v>0</v>
      </c>
      <c r="K42" s="75">
        <f>Recettes!K40*K$6</f>
        <v>0</v>
      </c>
      <c r="L42" s="75">
        <f>Recettes!L40*L$6</f>
        <v>0</v>
      </c>
      <c r="M42" s="75">
        <f>Recettes!M40*M$6</f>
        <v>0</v>
      </c>
      <c r="N42" s="76">
        <f t="shared" si="0"/>
        <v>0</v>
      </c>
      <c r="O42" s="69">
        <f t="shared" si="1"/>
        <v>1</v>
      </c>
      <c r="P42" s="73">
        <f t="shared" si="2"/>
        <v>0</v>
      </c>
    </row>
    <row r="43" spans="2:16" x14ac:dyDescent="0.3">
      <c r="B43" s="70" t="str">
        <f>Recettes!B41</f>
        <v>baies genievre</v>
      </c>
      <c r="C43" s="16">
        <f>Recettes!C41</f>
        <v>0</v>
      </c>
      <c r="D43" s="71">
        <f>Recettes!D41*D$6</f>
        <v>0</v>
      </c>
      <c r="E43" s="71">
        <f>Recettes!E41*E$6</f>
        <v>0</v>
      </c>
      <c r="F43" s="71">
        <f>Recettes!F41*F$6</f>
        <v>0</v>
      </c>
      <c r="G43" s="71">
        <f>Recettes!G41*G$6</f>
        <v>0</v>
      </c>
      <c r="H43" s="71">
        <f>Recettes!H41*H$6</f>
        <v>0</v>
      </c>
      <c r="I43" s="71">
        <f>Recettes!I41*I$6</f>
        <v>0</v>
      </c>
      <c r="J43" s="71">
        <f>Recettes!J41*J$6</f>
        <v>0</v>
      </c>
      <c r="K43" s="71">
        <f>Recettes!K41*K$6</f>
        <v>0</v>
      </c>
      <c r="L43" s="71">
        <f>Recettes!L41*L$6</f>
        <v>0</v>
      </c>
      <c r="M43" s="71">
        <f>Recettes!M41*M$6</f>
        <v>0</v>
      </c>
      <c r="N43" s="72">
        <f t="shared" si="0"/>
        <v>0</v>
      </c>
      <c r="O43" s="69">
        <f t="shared" si="1"/>
        <v>1</v>
      </c>
      <c r="P43" s="73">
        <f t="shared" si="2"/>
        <v>0</v>
      </c>
    </row>
    <row r="44" spans="2:16" x14ac:dyDescent="0.3">
      <c r="B44" s="74" t="str">
        <f>Recettes!B42</f>
        <v>PISTACHES</v>
      </c>
      <c r="C44" s="19" t="str">
        <f>Recettes!C42</f>
        <v>KG</v>
      </c>
      <c r="D44" s="75">
        <f>Recettes!D42*D$6</f>
        <v>0</v>
      </c>
      <c r="E44" s="75">
        <f>Recettes!E42*E$6</f>
        <v>0</v>
      </c>
      <c r="F44" s="75">
        <f>Recettes!F42*F$6</f>
        <v>0</v>
      </c>
      <c r="G44" s="75">
        <f>Recettes!G42*G$6</f>
        <v>0</v>
      </c>
      <c r="H44" s="75">
        <f>Recettes!H42*H$6</f>
        <v>0</v>
      </c>
      <c r="I44" s="75">
        <f>Recettes!I42*I$6</f>
        <v>0</v>
      </c>
      <c r="J44" s="75">
        <f>Recettes!J42*J$6</f>
        <v>0</v>
      </c>
      <c r="K44" s="75">
        <f>Recettes!K42*K$6</f>
        <v>0</v>
      </c>
      <c r="L44" s="75">
        <f>Recettes!L42*L$6</f>
        <v>0</v>
      </c>
      <c r="M44" s="75">
        <f>Recettes!M42*M$6</f>
        <v>0</v>
      </c>
      <c r="N44" s="76">
        <f t="shared" si="0"/>
        <v>0</v>
      </c>
      <c r="O44" s="69">
        <f t="shared" si="1"/>
        <v>1</v>
      </c>
      <c r="P44" s="73">
        <f t="shared" si="2"/>
        <v>1</v>
      </c>
    </row>
    <row r="45" spans="2:16" x14ac:dyDescent="0.3">
      <c r="B45" s="70" t="str">
        <f>Recettes!B43</f>
        <v>celeri branche</v>
      </c>
      <c r="C45" s="16" t="str">
        <f>Recettes!C43</f>
        <v>br</v>
      </c>
      <c r="D45" s="71">
        <f>Recettes!D43*D$6</f>
        <v>0</v>
      </c>
      <c r="E45" s="71">
        <f>Recettes!E43*E$6</f>
        <v>0</v>
      </c>
      <c r="F45" s="71">
        <f>Recettes!F43*F$6</f>
        <v>0</v>
      </c>
      <c r="G45" s="71">
        <f>Recettes!G43*G$6</f>
        <v>0</v>
      </c>
      <c r="H45" s="71">
        <f>Recettes!H43*H$6</f>
        <v>0</v>
      </c>
      <c r="I45" s="71">
        <f>Recettes!I43*I$6</f>
        <v>0</v>
      </c>
      <c r="J45" s="71">
        <f>Recettes!J43*J$6</f>
        <v>0</v>
      </c>
      <c r="K45" s="71">
        <f>Recettes!K43*K$6</f>
        <v>0</v>
      </c>
      <c r="L45" s="71">
        <f>Recettes!L43*L$6</f>
        <v>0</v>
      </c>
      <c r="M45" s="71">
        <f>Recettes!M43*M$6</f>
        <v>16.210999999999999</v>
      </c>
      <c r="N45" s="72">
        <f t="shared" si="0"/>
        <v>16.210999999999999</v>
      </c>
      <c r="O45" s="69">
        <f t="shared" si="1"/>
        <v>1</v>
      </c>
      <c r="P45" s="73">
        <f t="shared" si="2"/>
        <v>0</v>
      </c>
    </row>
    <row r="46" spans="2:16" x14ac:dyDescent="0.3">
      <c r="B46" s="74" t="str">
        <f>Recettes!B44</f>
        <v>champignons</v>
      </c>
      <c r="C46" s="19" t="str">
        <f>Recettes!C44</f>
        <v>kg</v>
      </c>
      <c r="D46" s="75">
        <f>Recettes!D44*D$6</f>
        <v>0</v>
      </c>
      <c r="E46" s="75">
        <f>Recettes!E44*E$6</f>
        <v>0</v>
      </c>
      <c r="F46" s="75">
        <f>Recettes!F44*F$6</f>
        <v>0</v>
      </c>
      <c r="G46" s="75">
        <f>Recettes!G44*G$6</f>
        <v>0</v>
      </c>
      <c r="H46" s="75">
        <f>Recettes!H44*H$6</f>
        <v>0</v>
      </c>
      <c r="I46" s="75">
        <f>Recettes!I44*I$6</f>
        <v>0</v>
      </c>
      <c r="J46" s="75">
        <f>Recettes!J44*J$6</f>
        <v>0</v>
      </c>
      <c r="K46" s="75">
        <f>Recettes!K44*K$6</f>
        <v>0</v>
      </c>
      <c r="L46" s="75">
        <f>Recettes!L44*L$6</f>
        <v>0</v>
      </c>
      <c r="M46" s="75">
        <f>Recettes!M44*M$6</f>
        <v>0</v>
      </c>
      <c r="N46" s="76">
        <f t="shared" si="0"/>
        <v>0</v>
      </c>
      <c r="O46" s="69">
        <f t="shared" si="1"/>
        <v>1</v>
      </c>
      <c r="P46" s="73">
        <f t="shared" si="2"/>
        <v>1</v>
      </c>
    </row>
    <row r="47" spans="2:16" x14ac:dyDescent="0.3">
      <c r="B47" s="70" t="str">
        <f>Recettes!B45</f>
        <v>tomates</v>
      </c>
      <c r="C47" s="16" t="str">
        <f>Recettes!C45</f>
        <v>kg</v>
      </c>
      <c r="D47" s="71">
        <f>Recettes!D45*D$6</f>
        <v>0</v>
      </c>
      <c r="E47" s="71">
        <f>Recettes!E45*E$6</f>
        <v>0</v>
      </c>
      <c r="F47" s="71">
        <f>Recettes!F45*F$6</f>
        <v>0</v>
      </c>
      <c r="G47" s="71">
        <f>Recettes!G45*G$6</f>
        <v>0</v>
      </c>
      <c r="H47" s="71">
        <f>Recettes!H45*H$6</f>
        <v>0</v>
      </c>
      <c r="I47" s="71">
        <f>Recettes!I45*I$6</f>
        <v>0</v>
      </c>
      <c r="J47" s="71">
        <f>Recettes!J45*J$6</f>
        <v>0</v>
      </c>
      <c r="K47" s="71">
        <f>Recettes!K45*K$6</f>
        <v>0</v>
      </c>
      <c r="L47" s="71">
        <f>Recettes!L45*L$6</f>
        <v>0</v>
      </c>
      <c r="M47" s="71">
        <f>Recettes!M45*M$6</f>
        <v>0</v>
      </c>
      <c r="N47" s="72">
        <f t="shared" si="0"/>
        <v>0</v>
      </c>
      <c r="O47" s="69">
        <f t="shared" si="1"/>
        <v>1</v>
      </c>
      <c r="P47" s="73">
        <f t="shared" si="2"/>
        <v>1</v>
      </c>
    </row>
    <row r="48" spans="2:16" x14ac:dyDescent="0.3">
      <c r="B48" s="74" t="str">
        <f>Recettes!B46</f>
        <v>olives noires niçoises</v>
      </c>
      <c r="C48" s="19" t="str">
        <f>Recettes!C46</f>
        <v>kg</v>
      </c>
      <c r="D48" s="75">
        <f>Recettes!D46*D$6</f>
        <v>0</v>
      </c>
      <c r="E48" s="75">
        <f>Recettes!E46*E$6</f>
        <v>0</v>
      </c>
      <c r="F48" s="75">
        <f>Recettes!F46*F$6</f>
        <v>0</v>
      </c>
      <c r="G48" s="75">
        <f>Recettes!G46*G$6</f>
        <v>0</v>
      </c>
      <c r="H48" s="75">
        <f>Recettes!H46*H$6</f>
        <v>0</v>
      </c>
      <c r="I48" s="75">
        <f>Recettes!I46*I$6</f>
        <v>0</v>
      </c>
      <c r="J48" s="75">
        <f>Recettes!J46*J$6</f>
        <v>0</v>
      </c>
      <c r="K48" s="75">
        <f>Recettes!K46*K$6</f>
        <v>0</v>
      </c>
      <c r="L48" s="75">
        <f>Recettes!L46*L$6</f>
        <v>0</v>
      </c>
      <c r="M48" s="75">
        <f>Recettes!M46*M$6</f>
        <v>0</v>
      </c>
      <c r="N48" s="76">
        <f t="shared" si="0"/>
        <v>0</v>
      </c>
      <c r="O48" s="69">
        <f t="shared" si="1"/>
        <v>1</v>
      </c>
      <c r="P48" s="73">
        <f t="shared" si="2"/>
        <v>1</v>
      </c>
    </row>
    <row r="49" spans="2:16" x14ac:dyDescent="0.3">
      <c r="B49" s="70" t="str">
        <f>Recettes!B47</f>
        <v>persil</v>
      </c>
      <c r="C49" s="16" t="str">
        <f>Recettes!C47</f>
        <v>kg</v>
      </c>
      <c r="D49" s="71">
        <f>Recettes!D47*D$6</f>
        <v>0</v>
      </c>
      <c r="E49" s="71">
        <f>Recettes!E47*E$6</f>
        <v>0</v>
      </c>
      <c r="F49" s="71">
        <f>Recettes!F47*F$6</f>
        <v>0</v>
      </c>
      <c r="G49" s="71">
        <f>Recettes!G47*G$6</f>
        <v>0</v>
      </c>
      <c r="H49" s="71">
        <f>Recettes!H47*H$6</f>
        <v>0</v>
      </c>
      <c r="I49" s="71">
        <f>Recettes!I47*I$6</f>
        <v>0</v>
      </c>
      <c r="J49" s="71">
        <f>Recettes!J47*J$6</f>
        <v>0</v>
      </c>
      <c r="K49" s="71">
        <f>Recettes!K47*K$6</f>
        <v>0</v>
      </c>
      <c r="L49" s="71">
        <f>Recettes!L47*L$6</f>
        <v>0</v>
      </c>
      <c r="M49" s="71">
        <f>Recettes!M47*M$6</f>
        <v>0</v>
      </c>
      <c r="N49" s="72">
        <f t="shared" si="0"/>
        <v>0</v>
      </c>
      <c r="O49" s="69">
        <f t="shared" si="1"/>
        <v>1</v>
      </c>
      <c r="P49" s="73">
        <f t="shared" si="2"/>
        <v>1</v>
      </c>
    </row>
    <row r="50" spans="2:16" x14ac:dyDescent="0.3">
      <c r="B50" s="74" t="str">
        <f>Recettes!B48</f>
        <v>oranges bio</v>
      </c>
      <c r="C50" s="19" t="str">
        <f>Recettes!C48</f>
        <v>u</v>
      </c>
      <c r="D50" s="75">
        <f>Recettes!D48*D$6</f>
        <v>0</v>
      </c>
      <c r="E50" s="75">
        <f>Recettes!E48*E$6</f>
        <v>0</v>
      </c>
      <c r="F50" s="75">
        <f>Recettes!F48*F$6</f>
        <v>0</v>
      </c>
      <c r="G50" s="75">
        <f>Recettes!G48*G$6</f>
        <v>0</v>
      </c>
      <c r="H50" s="75">
        <f>Recettes!H48*H$6</f>
        <v>0</v>
      </c>
      <c r="I50" s="75">
        <f>Recettes!I48*I$6</f>
        <v>0</v>
      </c>
      <c r="J50" s="75">
        <f>Recettes!J48*J$6</f>
        <v>0</v>
      </c>
      <c r="K50" s="75">
        <f>Recettes!K48*K$6</f>
        <v>0</v>
      </c>
      <c r="L50" s="75">
        <f>Recettes!L48*L$6</f>
        <v>0</v>
      </c>
      <c r="M50" s="75">
        <f>Recettes!M48*M$6</f>
        <v>0</v>
      </c>
      <c r="N50" s="76">
        <f t="shared" si="0"/>
        <v>0</v>
      </c>
      <c r="O50" s="69">
        <f t="shared" si="1"/>
        <v>1</v>
      </c>
      <c r="P50" s="73">
        <f t="shared" si="2"/>
        <v>0</v>
      </c>
    </row>
    <row r="51" spans="2:16" x14ac:dyDescent="0.3">
      <c r="B51" s="70" t="str">
        <f>Recettes!B49</f>
        <v>citrons bio</v>
      </c>
      <c r="C51" s="16" t="str">
        <f>Recettes!C49</f>
        <v>u</v>
      </c>
      <c r="D51" s="71">
        <f>Recettes!D49*D$6</f>
        <v>0</v>
      </c>
      <c r="E51" s="71">
        <f>Recettes!E49*E$6</f>
        <v>0</v>
      </c>
      <c r="F51" s="71">
        <f>Recettes!F49*F$6</f>
        <v>0</v>
      </c>
      <c r="G51" s="71">
        <f>Recettes!G49*G$6</f>
        <v>0</v>
      </c>
      <c r="H51" s="71">
        <f>Recettes!H49*H$6</f>
        <v>0</v>
      </c>
      <c r="I51" s="71">
        <f>Recettes!I49*I$6</f>
        <v>0</v>
      </c>
      <c r="J51" s="71">
        <f>Recettes!J49*J$6</f>
        <v>0</v>
      </c>
      <c r="K51" s="71">
        <f>Recettes!K49*K$6</f>
        <v>0</v>
      </c>
      <c r="L51" s="71">
        <f>Recettes!L49*L$6</f>
        <v>0</v>
      </c>
      <c r="M51" s="71">
        <f>Recettes!M49*M$6</f>
        <v>0</v>
      </c>
      <c r="N51" s="72">
        <f t="shared" si="0"/>
        <v>0</v>
      </c>
      <c r="O51" s="69">
        <f t="shared" si="1"/>
        <v>1</v>
      </c>
      <c r="P51" s="73">
        <f t="shared" si="2"/>
        <v>0</v>
      </c>
    </row>
    <row r="52" spans="2:16" x14ac:dyDescent="0.3">
      <c r="B52" s="74" t="str">
        <f>Recettes!B50</f>
        <v>échalottes</v>
      </c>
      <c r="C52" s="19" t="str">
        <f>Recettes!C50</f>
        <v>u</v>
      </c>
      <c r="D52" s="75">
        <f>Recettes!D50*D$6</f>
        <v>0</v>
      </c>
      <c r="E52" s="75">
        <f>Recettes!E50*E$6</f>
        <v>0</v>
      </c>
      <c r="F52" s="75">
        <f>Recettes!F50*F$6</f>
        <v>0</v>
      </c>
      <c r="G52" s="75">
        <f>Recettes!G50*G$6</f>
        <v>0</v>
      </c>
      <c r="H52" s="75">
        <f>Recettes!H50*H$6</f>
        <v>0</v>
      </c>
      <c r="I52" s="75">
        <f>Recettes!I50*I$6</f>
        <v>0</v>
      </c>
      <c r="J52" s="75">
        <f>Recettes!J50*J$6</f>
        <v>0</v>
      </c>
      <c r="K52" s="75">
        <f>Recettes!K50*K$6</f>
        <v>0</v>
      </c>
      <c r="L52" s="75">
        <f>Recettes!L50*L$6</f>
        <v>0</v>
      </c>
      <c r="M52" s="75">
        <f>Recettes!M50*M$6</f>
        <v>0</v>
      </c>
      <c r="N52" s="76">
        <f t="shared" si="0"/>
        <v>0</v>
      </c>
      <c r="O52" s="69">
        <f t="shared" si="1"/>
        <v>1</v>
      </c>
      <c r="P52" s="73">
        <f t="shared" si="2"/>
        <v>0</v>
      </c>
    </row>
    <row r="53" spans="2:16" x14ac:dyDescent="0.3">
      <c r="B53" s="70" t="str">
        <f>Recettes!B51</f>
        <v>ail frais</v>
      </c>
      <c r="C53" s="16" t="str">
        <f>Recettes!C51</f>
        <v>gs</v>
      </c>
      <c r="D53" s="71">
        <f>Recettes!D51*D$6</f>
        <v>0</v>
      </c>
      <c r="E53" s="71">
        <f>Recettes!E51*E$6</f>
        <v>0</v>
      </c>
      <c r="F53" s="71">
        <f>Recettes!F51*F$6</f>
        <v>0</v>
      </c>
      <c r="G53" s="71">
        <f>Recettes!G51*G$6</f>
        <v>0</v>
      </c>
      <c r="H53" s="71">
        <f>Recettes!H51*H$6</f>
        <v>0</v>
      </c>
      <c r="I53" s="71">
        <f>Recettes!I51*I$6</f>
        <v>0</v>
      </c>
      <c r="J53" s="71">
        <f>Recettes!J51*J$6</f>
        <v>0</v>
      </c>
      <c r="K53" s="71">
        <f>Recettes!K51*K$6</f>
        <v>0</v>
      </c>
      <c r="L53" s="71">
        <f>Recettes!L51*L$6</f>
        <v>0</v>
      </c>
      <c r="M53" s="71">
        <f>Recettes!M51*M$6</f>
        <v>0</v>
      </c>
      <c r="N53" s="72">
        <f t="shared" si="0"/>
        <v>0</v>
      </c>
      <c r="O53" s="69">
        <f t="shared" si="1"/>
        <v>1</v>
      </c>
      <c r="P53" s="73">
        <f t="shared" si="2"/>
        <v>0</v>
      </c>
    </row>
    <row r="54" spans="2:16" x14ac:dyDescent="0.3">
      <c r="B54" s="74" t="str">
        <f>Recettes!B52</f>
        <v>oignons</v>
      </c>
      <c r="C54" s="19" t="str">
        <f>Recettes!C52</f>
        <v>kg</v>
      </c>
      <c r="D54" s="75">
        <f>Recettes!D52*D$6</f>
        <v>0</v>
      </c>
      <c r="E54" s="75">
        <f>Recettes!E52*E$6</f>
        <v>0</v>
      </c>
      <c r="F54" s="75">
        <f>Recettes!F52*F$6</f>
        <v>0</v>
      </c>
      <c r="G54" s="75">
        <f>Recettes!G52*G$6</f>
        <v>0</v>
      </c>
      <c r="H54" s="75">
        <f>Recettes!H52*H$6</f>
        <v>0</v>
      </c>
      <c r="I54" s="75">
        <f>Recettes!I52*I$6</f>
        <v>0</v>
      </c>
      <c r="J54" s="75">
        <f>Recettes!J52*J$6</f>
        <v>0</v>
      </c>
      <c r="K54" s="75">
        <f>Recettes!K52*K$6</f>
        <v>0</v>
      </c>
      <c r="L54" s="75">
        <f>Recettes!L52*L$6</f>
        <v>0</v>
      </c>
      <c r="M54" s="75">
        <f>Recettes!M52*M$6</f>
        <v>1.2158249999999999</v>
      </c>
      <c r="N54" s="76">
        <f t="shared" si="0"/>
        <v>1.2158249999999999</v>
      </c>
      <c r="O54" s="69">
        <f t="shared" si="1"/>
        <v>1</v>
      </c>
      <c r="P54" s="73">
        <f t="shared" si="2"/>
        <v>1</v>
      </c>
    </row>
    <row r="55" spans="2:16" x14ac:dyDescent="0.3">
      <c r="B55" s="70" t="str">
        <f>Recettes!B53</f>
        <v>oignons nouveaux</v>
      </c>
      <c r="C55" s="16" t="str">
        <f>Recettes!C53</f>
        <v>kg</v>
      </c>
      <c r="D55" s="71">
        <f>Recettes!D53*D$6</f>
        <v>0</v>
      </c>
      <c r="E55" s="71">
        <f>Recettes!E53*E$6</f>
        <v>0</v>
      </c>
      <c r="F55" s="71">
        <f>Recettes!F53*F$6</f>
        <v>0</v>
      </c>
      <c r="G55" s="71">
        <f>Recettes!G53*G$6</f>
        <v>0</v>
      </c>
      <c r="H55" s="71">
        <f>Recettes!H53*H$6</f>
        <v>0</v>
      </c>
      <c r="I55" s="71">
        <f>Recettes!I53*I$6</f>
        <v>0</v>
      </c>
      <c r="J55" s="71">
        <f>Recettes!J53*J$6</f>
        <v>0</v>
      </c>
      <c r="K55" s="71">
        <f>Recettes!K53*K$6</f>
        <v>0</v>
      </c>
      <c r="L55" s="71">
        <f>Recettes!L53*L$6</f>
        <v>0</v>
      </c>
      <c r="M55" s="71">
        <f>Recettes!M53*M$6</f>
        <v>0</v>
      </c>
      <c r="N55" s="72">
        <f t="shared" si="0"/>
        <v>0</v>
      </c>
      <c r="O55" s="69">
        <f t="shared" si="1"/>
        <v>1</v>
      </c>
      <c r="P55" s="73">
        <f t="shared" si="2"/>
        <v>1</v>
      </c>
    </row>
    <row r="56" spans="2:16" x14ac:dyDescent="0.3">
      <c r="B56" s="74" t="str">
        <f>Recettes!B54</f>
        <v>thym</v>
      </c>
      <c r="C56" s="19" t="str">
        <f>Recettes!C54</f>
        <v>br</v>
      </c>
      <c r="D56" s="75">
        <f>Recettes!D54*D$6</f>
        <v>29.624000000000006</v>
      </c>
      <c r="E56" s="75">
        <f>Recettes!E54*E$6</f>
        <v>72.580000000000013</v>
      </c>
      <c r="F56" s="75">
        <f>Recettes!F54*F$6</f>
        <v>0</v>
      </c>
      <c r="G56" s="75">
        <f>Recettes!G54*G$6</f>
        <v>68.513999999999996</v>
      </c>
      <c r="H56" s="75">
        <f>Recettes!H54*H$6</f>
        <v>0</v>
      </c>
      <c r="I56" s="75">
        <f>Recettes!I54*I$6</f>
        <v>34.75</v>
      </c>
      <c r="J56" s="75">
        <f>Recettes!J54*J$6</f>
        <v>0</v>
      </c>
      <c r="K56" s="75">
        <f>Recettes!K54*K$6</f>
        <v>0</v>
      </c>
      <c r="L56" s="75">
        <f>Recettes!L54*L$6</f>
        <v>0</v>
      </c>
      <c r="M56" s="75">
        <f>Recettes!M54*M$6</f>
        <v>16.210999999999999</v>
      </c>
      <c r="N56" s="76">
        <f t="shared" si="0"/>
        <v>221.67900000000003</v>
      </c>
      <c r="O56" s="69">
        <f t="shared" si="1"/>
        <v>1</v>
      </c>
      <c r="P56" s="73">
        <f t="shared" si="2"/>
        <v>0</v>
      </c>
    </row>
    <row r="57" spans="2:16" x14ac:dyDescent="0.3">
      <c r="B57" s="70" t="str">
        <f>Recettes!B55</f>
        <v>laurier</v>
      </c>
      <c r="C57" s="16" t="str">
        <f>Recettes!C55</f>
        <v>fl</v>
      </c>
      <c r="D57" s="71">
        <f>Recettes!D55*D$6</f>
        <v>5.9248000000000012</v>
      </c>
      <c r="E57" s="71">
        <f>Recettes!E55*E$6</f>
        <v>14.516000000000002</v>
      </c>
      <c r="F57" s="71">
        <f>Recettes!F55*F$6</f>
        <v>0</v>
      </c>
      <c r="G57" s="71">
        <f>Recettes!G55*G$6</f>
        <v>13.7028</v>
      </c>
      <c r="H57" s="71">
        <f>Recettes!H55*H$6</f>
        <v>0</v>
      </c>
      <c r="I57" s="71">
        <f>Recettes!I55*I$6</f>
        <v>6.95</v>
      </c>
      <c r="J57" s="71">
        <f>Recettes!J55*J$6</f>
        <v>0</v>
      </c>
      <c r="K57" s="71">
        <f>Recettes!K55*K$6</f>
        <v>0</v>
      </c>
      <c r="L57" s="71">
        <f>Recettes!L55*L$6</f>
        <v>0</v>
      </c>
      <c r="M57" s="71">
        <f>Recettes!M55*M$6</f>
        <v>8.1054999999999993</v>
      </c>
      <c r="N57" s="72">
        <f>SUM(D57:M57)</f>
        <v>49.199100000000008</v>
      </c>
      <c r="O57" s="69">
        <f t="shared" si="1"/>
        <v>1</v>
      </c>
      <c r="P57" s="73">
        <f t="shared" si="2"/>
        <v>0</v>
      </c>
    </row>
    <row r="58" spans="2:16" x14ac:dyDescent="0.3">
      <c r="B58" s="74" t="str">
        <f>Recettes!B56</f>
        <v>vin blanc chenin</v>
      </c>
      <c r="C58" s="19" t="str">
        <f>Recettes!C56</f>
        <v>l</v>
      </c>
      <c r="D58" s="75">
        <f>Recettes!D56*D$6</f>
        <v>0</v>
      </c>
      <c r="E58" s="75">
        <f>Recettes!E56*E$6</f>
        <v>0</v>
      </c>
      <c r="F58" s="75">
        <f>Recettes!F56*F$6</f>
        <v>0</v>
      </c>
      <c r="G58" s="75">
        <f>Recettes!G56*G$6</f>
        <v>1.644336</v>
      </c>
      <c r="H58" s="75">
        <f>Recettes!H56*H$6</f>
        <v>0</v>
      </c>
      <c r="I58" s="75">
        <f>Recettes!I56*I$6</f>
        <v>0.69500000000000006</v>
      </c>
      <c r="J58" s="75">
        <f>Recettes!J56*J$6</f>
        <v>0</v>
      </c>
      <c r="K58" s="75">
        <f>Recettes!K56*K$6</f>
        <v>0</v>
      </c>
      <c r="L58" s="75">
        <f>Recettes!L56*L$6</f>
        <v>0</v>
      </c>
      <c r="M58" s="75">
        <f>Recettes!M56*M$6</f>
        <v>0</v>
      </c>
      <c r="N58" s="76">
        <f t="shared" si="0"/>
        <v>2.3393360000000003</v>
      </c>
      <c r="O58" s="69">
        <f t="shared" si="1"/>
        <v>1</v>
      </c>
      <c r="P58" s="73">
        <f t="shared" si="2"/>
        <v>1</v>
      </c>
    </row>
    <row r="59" spans="2:16" x14ac:dyDescent="0.3">
      <c r="B59" s="70" t="str">
        <f>Recettes!B57</f>
        <v>vin rouge languedoc</v>
      </c>
      <c r="C59" s="16" t="str">
        <f>Recettes!C57</f>
        <v>l</v>
      </c>
      <c r="D59" s="71">
        <f>Recettes!D57*D$6</f>
        <v>0.71097600000000016</v>
      </c>
      <c r="E59" s="71">
        <f>Recettes!E57*E$6</f>
        <v>1.0161200000000001</v>
      </c>
      <c r="F59" s="71">
        <f>Recettes!F57*F$6</f>
        <v>0</v>
      </c>
      <c r="G59" s="71">
        <f>Recettes!G57*G$6</f>
        <v>0</v>
      </c>
      <c r="H59" s="71">
        <f>Recettes!H57*H$6</f>
        <v>0</v>
      </c>
      <c r="I59" s="71">
        <f>Recettes!I57*I$6</f>
        <v>0</v>
      </c>
      <c r="J59" s="71">
        <f>Recettes!J57*J$6</f>
        <v>0</v>
      </c>
      <c r="K59" s="71">
        <f>Recettes!K57*K$6</f>
        <v>0</v>
      </c>
      <c r="L59" s="71">
        <f>Recettes!L57*L$6</f>
        <v>0</v>
      </c>
      <c r="M59" s="71">
        <f>Recettes!M57*M$6</f>
        <v>3.2422</v>
      </c>
      <c r="N59" s="72">
        <f t="shared" si="0"/>
        <v>4.9692959999999999</v>
      </c>
      <c r="O59" s="69">
        <f t="shared" si="1"/>
        <v>1</v>
      </c>
      <c r="P59" s="73">
        <f t="shared" si="2"/>
        <v>1</v>
      </c>
    </row>
    <row r="60" spans="2:16" x14ac:dyDescent="0.3">
      <c r="B60" s="74" t="str">
        <f>Recettes!B58</f>
        <v>cognac/armagnac</v>
      </c>
      <c r="C60" s="19" t="str">
        <f>Recettes!C58</f>
        <v>l</v>
      </c>
      <c r="D60" s="75">
        <f>Recettes!D58*D$6</f>
        <v>0.17774400000000004</v>
      </c>
      <c r="E60" s="75">
        <f>Recettes!E58*E$6</f>
        <v>0.43548000000000003</v>
      </c>
      <c r="F60" s="75">
        <f>Recettes!F58*F$6</f>
        <v>0</v>
      </c>
      <c r="G60" s="75">
        <f>Recettes!G58*G$6</f>
        <v>0</v>
      </c>
      <c r="H60" s="75">
        <f>Recettes!H58*H$6</f>
        <v>0</v>
      </c>
      <c r="I60" s="75">
        <f>Recettes!I58*I$6</f>
        <v>0.48650000000000004</v>
      </c>
      <c r="J60" s="75">
        <f>Recettes!J58*J$6</f>
        <v>0</v>
      </c>
      <c r="K60" s="75">
        <f>Recettes!K58*K$6</f>
        <v>0</v>
      </c>
      <c r="L60" s="75">
        <f>Recettes!L58*L$6</f>
        <v>0</v>
      </c>
      <c r="M60" s="75">
        <f>Recettes!M58*M$6</f>
        <v>0.16210999999999998</v>
      </c>
      <c r="N60" s="76">
        <f t="shared" si="0"/>
        <v>1.2618340000000001</v>
      </c>
      <c r="O60" s="69">
        <f t="shared" si="1"/>
        <v>1</v>
      </c>
      <c r="P60" s="73">
        <f t="shared" si="2"/>
        <v>1</v>
      </c>
    </row>
    <row r="61" spans="2:16" x14ac:dyDescent="0.3">
      <c r="B61" s="70" t="str">
        <f>Recettes!B59</f>
        <v>alcool blanc de fruit</v>
      </c>
      <c r="C61" s="16" t="str">
        <f>Recettes!C59</f>
        <v>l</v>
      </c>
      <c r="D61" s="71">
        <f>Recettes!D59*D$6</f>
        <v>0</v>
      </c>
      <c r="E61" s="71">
        <f>Recettes!E59*E$6</f>
        <v>0</v>
      </c>
      <c r="F61" s="71">
        <f>Recettes!F59*F$6</f>
        <v>0</v>
      </c>
      <c r="G61" s="71">
        <f>Recettes!G59*G$6</f>
        <v>0.411084</v>
      </c>
      <c r="H61" s="71">
        <f>Recettes!H59*H$6</f>
        <v>0</v>
      </c>
      <c r="I61" s="71">
        <f>Recettes!I59*I$6</f>
        <v>0</v>
      </c>
      <c r="J61" s="71">
        <f>Recettes!J59*J$6</f>
        <v>0</v>
      </c>
      <c r="K61" s="71">
        <f>Recettes!K59*K$6</f>
        <v>0</v>
      </c>
      <c r="L61" s="71">
        <f>Recettes!L59*L$6</f>
        <v>0</v>
      </c>
      <c r="M61" s="71">
        <f>Recettes!M59*M$6</f>
        <v>0</v>
      </c>
      <c r="N61" s="72">
        <f t="shared" si="0"/>
        <v>0.411084</v>
      </c>
      <c r="O61" s="69">
        <f t="shared" si="1"/>
        <v>1</v>
      </c>
      <c r="P61" s="73">
        <f t="shared" si="2"/>
        <v>1</v>
      </c>
    </row>
    <row r="62" spans="2:16" x14ac:dyDescent="0.3">
      <c r="B62" s="74" t="str">
        <f>Recettes!B60</f>
        <v>porto</v>
      </c>
      <c r="C62" s="19" t="str">
        <f>Recettes!C60</f>
        <v>l</v>
      </c>
      <c r="D62" s="75">
        <f>Recettes!D60*D$6</f>
        <v>0</v>
      </c>
      <c r="E62" s="75">
        <f>Recettes!E60*E$6</f>
        <v>0.65322000000000002</v>
      </c>
      <c r="F62" s="75">
        <f>Recettes!F60*F$6</f>
        <v>0</v>
      </c>
      <c r="G62" s="75">
        <f>Recettes!G60*G$6</f>
        <v>0</v>
      </c>
      <c r="H62" s="75">
        <f>Recettes!H60*H$6</f>
        <v>0</v>
      </c>
      <c r="I62" s="75">
        <f>Recettes!I60*I$6</f>
        <v>0</v>
      </c>
      <c r="J62" s="75">
        <f>Recettes!J60*J$6</f>
        <v>0</v>
      </c>
      <c r="K62" s="75">
        <f>Recettes!K60*K$6</f>
        <v>0</v>
      </c>
      <c r="L62" s="75">
        <f>Recettes!L60*L$6</f>
        <v>0</v>
      </c>
      <c r="M62" s="75">
        <f>Recettes!M60*M$6</f>
        <v>0</v>
      </c>
      <c r="N62" s="76">
        <f t="shared" si="0"/>
        <v>0.65322000000000002</v>
      </c>
      <c r="O62" s="69">
        <f t="shared" si="1"/>
        <v>1</v>
      </c>
      <c r="P62" s="73">
        <f t="shared" si="2"/>
        <v>1</v>
      </c>
    </row>
    <row r="63" spans="2:16" x14ac:dyDescent="0.3">
      <c r="B63" s="29" t="s">
        <v>136</v>
      </c>
      <c r="C63" s="29"/>
      <c r="D63" s="30">
        <f>SUMPRODUCT(D9:D62,$P$9:$P$62)</f>
        <v>10.482748640000002</v>
      </c>
      <c r="E63" s="30">
        <f t="shared" ref="E63:M63" si="3">SUMPRODUCT(E9:E62,$P$9:$P$62)</f>
        <v>25.610578800000003</v>
      </c>
      <c r="F63" s="30">
        <f t="shared" si="3"/>
        <v>0</v>
      </c>
      <c r="G63" s="30">
        <f t="shared" si="3"/>
        <v>22.188944039999996</v>
      </c>
      <c r="H63" s="30">
        <f t="shared" si="3"/>
        <v>0</v>
      </c>
      <c r="I63" s="30">
        <f t="shared" si="3"/>
        <v>27.760384999999999</v>
      </c>
      <c r="J63" s="30">
        <f t="shared" si="3"/>
        <v>0</v>
      </c>
      <c r="K63" s="30">
        <f t="shared" si="3"/>
        <v>0</v>
      </c>
      <c r="L63" s="30">
        <f t="shared" si="3"/>
        <v>0</v>
      </c>
      <c r="M63" s="30">
        <f t="shared" si="3"/>
        <v>22.243923649999996</v>
      </c>
      <c r="N63" s="30">
        <f>SUM(D63:M63)</f>
        <v>108.28658013</v>
      </c>
    </row>
    <row r="66" spans="2:11" x14ac:dyDescent="0.3">
      <c r="B66" s="32" t="s">
        <v>138</v>
      </c>
    </row>
    <row r="67" spans="2:11" ht="28.8" x14ac:dyDescent="0.3">
      <c r="B67" s="7" t="s">
        <v>139</v>
      </c>
      <c r="C67" s="8" t="s">
        <v>140</v>
      </c>
      <c r="D67" s="8" t="s">
        <v>141</v>
      </c>
      <c r="E67" s="8" t="s">
        <v>142</v>
      </c>
      <c r="F67" s="8" t="s">
        <v>143</v>
      </c>
      <c r="G67" s="8" t="s">
        <v>144</v>
      </c>
      <c r="H67" s="8" t="s">
        <v>145</v>
      </c>
      <c r="I67" s="8" t="s">
        <v>146</v>
      </c>
      <c r="J67" s="8" t="s">
        <v>147</v>
      </c>
      <c r="K67" s="8" t="s">
        <v>148</v>
      </c>
    </row>
    <row r="68" spans="2:11" x14ac:dyDescent="0.3">
      <c r="B68" s="16" t="s">
        <v>120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22">
        <f>C68*Paramètres!$I$11+D68*Paramètres!$I$12+E68*Paramètres!$I$13+F68*Paramètres!$I$14+G68*Paramètres!$I$15</f>
        <v>0</v>
      </c>
      <c r="I68" s="22">
        <f>D$63</f>
        <v>10.482748640000002</v>
      </c>
      <c r="J68" s="22">
        <f>I68-H68</f>
        <v>10.482748640000002</v>
      </c>
      <c r="K68" s="78">
        <f>ROUND(I68/Paramètres!$I$13,0)</f>
        <v>33</v>
      </c>
    </row>
    <row r="69" spans="2:11" x14ac:dyDescent="0.3">
      <c r="B69" s="19" t="s">
        <v>121</v>
      </c>
      <c r="C69" s="79">
        <v>0</v>
      </c>
      <c r="D69" s="79">
        <v>0</v>
      </c>
      <c r="E69" s="79">
        <v>0</v>
      </c>
      <c r="F69" s="79">
        <v>0</v>
      </c>
      <c r="G69" s="79">
        <v>0</v>
      </c>
      <c r="H69" s="26">
        <f>C69*Paramètres!$I$11+D69*Paramètres!$I$12+E69*Paramètres!$I$13+F69*Paramètres!$I$14+G69*Paramètres!$I$15</f>
        <v>0</v>
      </c>
      <c r="I69" s="26">
        <f>E$63</f>
        <v>25.610578800000003</v>
      </c>
      <c r="J69" s="26">
        <f>I69-H69</f>
        <v>25.610578800000003</v>
      </c>
      <c r="K69" s="80">
        <f>ROUND(I69/Paramètres!$I$13,0)</f>
        <v>81</v>
      </c>
    </row>
    <row r="70" spans="2:11" x14ac:dyDescent="0.3">
      <c r="B70" s="16" t="s">
        <v>122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22">
        <f>C70*Paramètres!$I$11+D70*Paramètres!$I$12+E70*Paramètres!$I$13+F70*Paramètres!$I$14+G70*Paramètres!$I$15</f>
        <v>0</v>
      </c>
      <c r="I70" s="22">
        <f>F$63</f>
        <v>0</v>
      </c>
      <c r="J70" s="22">
        <f>I70-H70</f>
        <v>0</v>
      </c>
      <c r="K70" s="78">
        <f>ROUND(I70/Paramètres!$I$13,0)</f>
        <v>0</v>
      </c>
    </row>
    <row r="71" spans="2:11" x14ac:dyDescent="0.3">
      <c r="B71" s="19" t="s">
        <v>123</v>
      </c>
      <c r="C71" s="79">
        <v>0</v>
      </c>
      <c r="D71" s="79">
        <v>0</v>
      </c>
      <c r="E71" s="79">
        <v>0</v>
      </c>
      <c r="F71" s="79">
        <v>0</v>
      </c>
      <c r="G71" s="79">
        <v>0</v>
      </c>
      <c r="H71" s="26">
        <f>C71*Paramètres!$I$11+D71*Paramètres!$I$12+E71*Paramètres!$I$13+F71*Paramètres!$I$14+G71*Paramètres!$I$15</f>
        <v>0</v>
      </c>
      <c r="I71" s="26">
        <f>G$63</f>
        <v>22.188944039999996</v>
      </c>
      <c r="J71" s="26">
        <f>I71-H71</f>
        <v>22.188944039999996</v>
      </c>
      <c r="K71" s="80">
        <f>ROUND(I71/Paramètres!$I$13,0)</f>
        <v>70</v>
      </c>
    </row>
    <row r="72" spans="2:11" x14ac:dyDescent="0.3">
      <c r="B72" s="16" t="s">
        <v>124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22">
        <f>C72*Paramètres!$I$11+D72*Paramètres!$I$12+E72*Paramètres!$I$13+F72*Paramètres!$I$14+G72*Paramètres!$I$15</f>
        <v>0</v>
      </c>
      <c r="I72" s="22">
        <f>H$63</f>
        <v>0</v>
      </c>
      <c r="J72" s="22">
        <f>I72-H72</f>
        <v>0</v>
      </c>
      <c r="K72" s="78">
        <f>ROUND(I72/Paramètres!$I$13,0)</f>
        <v>0</v>
      </c>
    </row>
    <row r="73" spans="2:11" x14ac:dyDescent="0.3">
      <c r="B73" s="19" t="s">
        <v>125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26">
        <f>C73*Paramètres!$I$11+D73*Paramètres!$I$12+E73*Paramètres!$I$13+F73*Paramètres!$I$14+G73*Paramètres!$I$15</f>
        <v>0</v>
      </c>
      <c r="I73" s="26">
        <f>I$63</f>
        <v>27.760384999999999</v>
      </c>
      <c r="J73" s="26">
        <f>I73-H73</f>
        <v>27.760384999999999</v>
      </c>
      <c r="K73" s="80">
        <f>ROUND(I73/Paramètres!$I$13,0)</f>
        <v>88</v>
      </c>
    </row>
    <row r="74" spans="2:11" x14ac:dyDescent="0.3">
      <c r="B74" s="16" t="s">
        <v>126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22">
        <f>C74*Paramètres!$I$11+D74*Paramètres!$I$12+E74*Paramètres!$I$13+F74*Paramètres!$I$14+G74*Paramètres!$I$15</f>
        <v>0</v>
      </c>
      <c r="I74" s="22">
        <f>J$63</f>
        <v>0</v>
      </c>
      <c r="J74" s="22">
        <f>I74-H74</f>
        <v>0</v>
      </c>
      <c r="K74" s="78">
        <f>ROUND(I74/Paramètres!$I$13,0)</f>
        <v>0</v>
      </c>
    </row>
    <row r="75" spans="2:11" x14ac:dyDescent="0.3">
      <c r="B75" s="19" t="s">
        <v>127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26">
        <f>C75*Paramètres!$I$11+D75*Paramètres!$I$12+E75*Paramètres!$I$13+F75*Paramètres!$I$14+G75*Paramètres!$I$15</f>
        <v>0</v>
      </c>
      <c r="I75" s="26">
        <f>K$63</f>
        <v>0</v>
      </c>
      <c r="J75" s="26">
        <f>I75-H75</f>
        <v>0</v>
      </c>
      <c r="K75" s="80">
        <f>ROUND(I75/Paramètres!$I$13,0)</f>
        <v>0</v>
      </c>
    </row>
    <row r="76" spans="2:11" x14ac:dyDescent="0.3">
      <c r="B76" s="16" t="s">
        <v>128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22">
        <f>C76*Paramètres!$I$11+D76*Paramètres!$I$12+E76*Paramètres!$I$13+F76*Paramètres!$I$14+G76*Paramètres!$I$15</f>
        <v>0</v>
      </c>
      <c r="I76" s="22">
        <f>L$63</f>
        <v>0</v>
      </c>
      <c r="J76" s="22">
        <f>I76-H76</f>
        <v>0</v>
      </c>
      <c r="K76" s="78">
        <f>ROUND(I76/Paramètres!$I$13,0)</f>
        <v>0</v>
      </c>
    </row>
    <row r="77" spans="2:11" x14ac:dyDescent="0.3">
      <c r="B77" s="19" t="s">
        <v>129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26">
        <f>C77*Paramètres!$I$11+D77*Paramètres!$I$12+E77*Paramètres!$I$13+F77*Paramètres!$I$14+G77*Paramètres!$I$15</f>
        <v>0</v>
      </c>
      <c r="I77" s="26">
        <f>M$63</f>
        <v>22.243923649999996</v>
      </c>
      <c r="J77" s="26">
        <f>I77-H77</f>
        <v>22.243923649999996</v>
      </c>
      <c r="K77" s="80">
        <f>ROUND(I77/Paramètres!$I$13,0)</f>
        <v>71</v>
      </c>
    </row>
    <row r="78" spans="2:11" x14ac:dyDescent="0.3">
      <c r="B78" s="29" t="s">
        <v>5</v>
      </c>
      <c r="C78" s="81">
        <f>SUM(C68:C77)</f>
        <v>0</v>
      </c>
      <c r="D78" s="81">
        <f>SUM(D68:D77)</f>
        <v>0</v>
      </c>
      <c r="E78" s="81">
        <f>SUM(E68:E77)</f>
        <v>0</v>
      </c>
      <c r="F78" s="81">
        <f>SUM(F68:F77)</f>
        <v>0</v>
      </c>
      <c r="G78" s="81">
        <f>SUM(G68:G77)</f>
        <v>0</v>
      </c>
      <c r="H78" s="30">
        <f>SUM(H68:H77)</f>
        <v>0</v>
      </c>
      <c r="I78" s="30">
        <f>SUM(I68:I77)</f>
        <v>108.28658013</v>
      </c>
      <c r="J78" s="30">
        <f>SUM(J68:J77)</f>
        <v>108.28658013</v>
      </c>
      <c r="K78" s="29"/>
    </row>
  </sheetData>
  <conditionalFormatting sqref="J68:J77">
    <cfRule type="cellIs" dxfId="1" priority="1" operator="notBetween">
      <formula>0.5</formula>
      <formula>-0.5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0AF5-7060-4764-BB4F-1B61063F2A74}">
  <sheetPr>
    <tabColor rgb="FFA0703C"/>
  </sheetPr>
  <dimension ref="A2:L57"/>
  <sheetViews>
    <sheetView showGridLines="0" workbookViewId="0">
      <selection activeCell="E49" sqref="E49"/>
    </sheetView>
  </sheetViews>
  <sheetFormatPr baseColWidth="10" defaultRowHeight="14.4" x14ac:dyDescent="0.3"/>
  <cols>
    <col min="1" max="1" width="11.5546875" style="9"/>
    <col min="2" max="2" width="32.44140625" style="9" customWidth="1"/>
    <col min="3" max="3" width="10.21875" style="9" customWidth="1"/>
    <col min="4" max="4" width="17.109375" style="9" bestFit="1" customWidth="1"/>
    <col min="5" max="8" width="14.77734375" style="9" customWidth="1"/>
    <col min="9" max="9" width="24.109375" style="9" customWidth="1"/>
    <col min="10" max="10" width="11.109375" style="9" customWidth="1"/>
    <col min="11" max="12" width="11.5546875" style="9"/>
  </cols>
  <sheetData>
    <row r="2" spans="2:10" ht="21" x14ac:dyDescent="0.3">
      <c r="B2" s="11" t="s">
        <v>149</v>
      </c>
    </row>
    <row r="3" spans="2:10" x14ac:dyDescent="0.3">
      <c r="B3" s="14" t="s">
        <v>210</v>
      </c>
    </row>
    <row r="4" spans="2:10" x14ac:dyDescent="0.3">
      <c r="B4" s="15" t="s">
        <v>150</v>
      </c>
    </row>
    <row r="6" spans="2:10" x14ac:dyDescent="0.3">
      <c r="B6" s="7" t="s">
        <v>85</v>
      </c>
      <c r="C6" s="8" t="s">
        <v>86</v>
      </c>
      <c r="D6" s="8" t="s">
        <v>151</v>
      </c>
      <c r="E6" s="8" t="s">
        <v>152</v>
      </c>
      <c r="F6" s="8" t="s">
        <v>153</v>
      </c>
      <c r="G6" s="8" t="s">
        <v>154</v>
      </c>
      <c r="H6" s="8" t="s">
        <v>155</v>
      </c>
      <c r="I6" s="8" t="s">
        <v>156</v>
      </c>
      <c r="J6" s="8" t="s">
        <v>161</v>
      </c>
    </row>
    <row r="7" spans="2:10" x14ac:dyDescent="0.3">
      <c r="B7" s="16" t="str">
        <f>Paramètres!B23</f>
        <v>gorge de porc</v>
      </c>
      <c r="C7" s="16" t="str">
        <f>Paramètres!C23</f>
        <v>kg</v>
      </c>
      <c r="D7" s="22">
        <f>Production!N21</f>
        <v>21.95504</v>
      </c>
      <c r="E7" s="21">
        <v>0</v>
      </c>
      <c r="F7" s="82">
        <f>MAX(D7-E7,0)</f>
        <v>21.95504</v>
      </c>
      <c r="G7" s="59">
        <f>Paramètres!D23</f>
        <v>3.2</v>
      </c>
      <c r="H7" s="59">
        <f>F7*G7*IF(C7="g",0.001,1)</f>
        <v>70.256128000000004</v>
      </c>
      <c r="I7" s="41"/>
      <c r="J7" s="83" t="s">
        <v>162</v>
      </c>
    </row>
    <row r="8" spans="2:10" x14ac:dyDescent="0.3">
      <c r="B8" s="19" t="str">
        <f>Paramètres!B24</f>
        <v>ECHINE DE PORC</v>
      </c>
      <c r="C8" s="19" t="str">
        <f>Paramètres!C24</f>
        <v>kg</v>
      </c>
      <c r="D8" s="26">
        <f>Production!N22</f>
        <v>0</v>
      </c>
      <c r="E8" s="25">
        <v>0</v>
      </c>
      <c r="F8" s="84">
        <f>MAX(D8-E8,0)</f>
        <v>0</v>
      </c>
      <c r="G8" s="61">
        <f>Paramètres!D24</f>
        <v>8</v>
      </c>
      <c r="H8" s="61">
        <f>F8*G8*IF(C8="g",0.001,1)</f>
        <v>0</v>
      </c>
      <c r="I8" s="45"/>
      <c r="J8" s="85" t="s">
        <v>162</v>
      </c>
    </row>
    <row r="9" spans="2:10" x14ac:dyDescent="0.3">
      <c r="B9" s="16" t="str">
        <f>Paramètres!B25</f>
        <v>lard GRAS</v>
      </c>
      <c r="C9" s="16" t="str">
        <f>Paramètres!C25</f>
        <v>kg</v>
      </c>
      <c r="D9" s="22">
        <f>Production!N23</f>
        <v>0</v>
      </c>
      <c r="E9" s="21">
        <v>0</v>
      </c>
      <c r="F9" s="82">
        <f>MAX(D9-E9,0)</f>
        <v>0</v>
      </c>
      <c r="G9" s="59">
        <f>Paramètres!D25</f>
        <v>12</v>
      </c>
      <c r="H9" s="59">
        <f>F9*G9*IF(C9="g",0.001,1)</f>
        <v>0</v>
      </c>
      <c r="I9" s="41"/>
      <c r="J9" s="83" t="s">
        <v>162</v>
      </c>
    </row>
    <row r="10" spans="2:10" x14ac:dyDescent="0.3">
      <c r="B10" s="19" t="str">
        <f>Paramètres!B26</f>
        <v>poitrine de porc</v>
      </c>
      <c r="C10" s="19" t="str">
        <f>Paramètres!C26</f>
        <v>kg</v>
      </c>
      <c r="D10" s="26">
        <f>Production!N24</f>
        <v>3.2422</v>
      </c>
      <c r="E10" s="25">
        <v>0</v>
      </c>
      <c r="F10" s="84">
        <f>MAX(D10-E10,0)</f>
        <v>3.2422</v>
      </c>
      <c r="G10" s="61">
        <f>Paramètres!D26</f>
        <v>8</v>
      </c>
      <c r="H10" s="61">
        <f>F10*G10*IF(C10="g",0.001,1)</f>
        <v>25.9376</v>
      </c>
      <c r="I10" s="45"/>
      <c r="J10" s="85" t="s">
        <v>162</v>
      </c>
    </row>
    <row r="11" spans="2:10" x14ac:dyDescent="0.3">
      <c r="B11" s="16" t="str">
        <f>Paramètres!B27</f>
        <v>poitrine fumée</v>
      </c>
      <c r="C11" s="16" t="str">
        <f>Paramètres!C27</f>
        <v>kg</v>
      </c>
      <c r="D11" s="22">
        <f>Production!N25</f>
        <v>0</v>
      </c>
      <c r="E11" s="21">
        <v>0</v>
      </c>
      <c r="F11" s="82">
        <f>MAX(D11-E11,0)</f>
        <v>0</v>
      </c>
      <c r="G11" s="59">
        <f>Paramètres!D27</f>
        <v>12.5</v>
      </c>
      <c r="H11" s="59">
        <f>F11*G11*IF(C11="g",0.001,1)</f>
        <v>0</v>
      </c>
      <c r="I11" s="41"/>
      <c r="J11" s="83" t="s">
        <v>162</v>
      </c>
    </row>
    <row r="12" spans="2:10" x14ac:dyDescent="0.3">
      <c r="B12" s="19" t="str">
        <f>Paramètres!B28</f>
        <v>chair à saucisse</v>
      </c>
      <c r="C12" s="19" t="str">
        <f>Paramètres!C28</f>
        <v>kg</v>
      </c>
      <c r="D12" s="26">
        <f>Production!N26</f>
        <v>0</v>
      </c>
      <c r="E12" s="25">
        <v>0</v>
      </c>
      <c r="F12" s="84">
        <f>MAX(D12-E12,0)</f>
        <v>0</v>
      </c>
      <c r="G12" s="61">
        <f>Paramètres!D28</f>
        <v>10</v>
      </c>
      <c r="H12" s="61">
        <f>F12*G12*IF(C12="g",0.001,1)</f>
        <v>0</v>
      </c>
      <c r="I12" s="45"/>
      <c r="J12" s="85" t="s">
        <v>162</v>
      </c>
    </row>
    <row r="13" spans="2:10" x14ac:dyDescent="0.3">
      <c r="B13" s="16" t="str">
        <f>Paramètres!B29</f>
        <v>barde</v>
      </c>
      <c r="C13" s="16" t="str">
        <f>Paramètres!C29</f>
        <v>m2</v>
      </c>
      <c r="D13" s="22">
        <f>Production!N27</f>
        <v>0</v>
      </c>
      <c r="E13" s="21">
        <v>0</v>
      </c>
      <c r="F13" s="82">
        <f>MAX(D13-E13,0)</f>
        <v>0</v>
      </c>
      <c r="G13" s="59">
        <f>Paramètres!D29</f>
        <v>20</v>
      </c>
      <c r="H13" s="59">
        <f>F13*G13*IF(C13="g",0.001,1)</f>
        <v>0</v>
      </c>
      <c r="I13" s="41"/>
      <c r="J13" s="83" t="s">
        <v>162</v>
      </c>
    </row>
    <row r="14" spans="2:10" x14ac:dyDescent="0.3">
      <c r="B14" s="19" t="str">
        <f>Paramètres!B30</f>
        <v>VEAU poitrine</v>
      </c>
      <c r="C14" s="19" t="str">
        <f>Paramètres!C30</f>
        <v>kg</v>
      </c>
      <c r="D14" s="26">
        <f>Production!N28</f>
        <v>3.4257</v>
      </c>
      <c r="E14" s="25">
        <v>0</v>
      </c>
      <c r="F14" s="84">
        <f>MAX(D14-E14,0)</f>
        <v>3.4257</v>
      </c>
      <c r="G14" s="61">
        <f>Paramètres!D30</f>
        <v>16</v>
      </c>
      <c r="H14" s="61">
        <f>F14*G14*IF(C14="g",0.001,1)</f>
        <v>54.811199999999999</v>
      </c>
      <c r="I14" s="45"/>
      <c r="J14" s="85" t="s">
        <v>162</v>
      </c>
    </row>
    <row r="15" spans="2:10" x14ac:dyDescent="0.3">
      <c r="B15" s="16" t="str">
        <f>Paramètres!B31</f>
        <v>foie de volailles</v>
      </c>
      <c r="C15" s="16" t="str">
        <f>Paramètres!C31</f>
        <v>kg</v>
      </c>
      <c r="D15" s="22">
        <f>Production!N29</f>
        <v>0</v>
      </c>
      <c r="E15" s="21">
        <v>0</v>
      </c>
      <c r="F15" s="82">
        <f>MAX(D15-E15,0)</f>
        <v>0</v>
      </c>
      <c r="G15" s="59">
        <f>Paramètres!D31</f>
        <v>15</v>
      </c>
      <c r="H15" s="59">
        <f>F15*G15*IF(C15="g",0.001,1)</f>
        <v>0</v>
      </c>
      <c r="I15" s="41"/>
      <c r="J15" s="83" t="s">
        <v>162</v>
      </c>
    </row>
    <row r="16" spans="2:10" x14ac:dyDescent="0.3">
      <c r="B16" s="19" t="str">
        <f>Paramètres!B32</f>
        <v>saindoux</v>
      </c>
      <c r="C16" s="19" t="str">
        <f>Paramètres!C32</f>
        <v>kg</v>
      </c>
      <c r="D16" s="26">
        <f>Production!N30</f>
        <v>0</v>
      </c>
      <c r="E16" s="25">
        <v>0</v>
      </c>
      <c r="F16" s="84">
        <f>MAX(D16-E16,0)</f>
        <v>0</v>
      </c>
      <c r="G16" s="61">
        <f>Paramètres!D32</f>
        <v>6</v>
      </c>
      <c r="H16" s="61">
        <f>F16*G16*IF(C16="g",0.001,1)</f>
        <v>0</v>
      </c>
      <c r="I16" s="45"/>
      <c r="J16" s="85" t="s">
        <v>162</v>
      </c>
    </row>
    <row r="17" spans="2:10" x14ac:dyDescent="0.3">
      <c r="B17" s="16" t="str">
        <f>Paramètres!B33</f>
        <v>sel</v>
      </c>
      <c r="C17" s="16" t="str">
        <f>Paramètres!C33</f>
        <v>kg</v>
      </c>
      <c r="D17" s="22">
        <f>Production!N31</f>
        <v>0.59038920000000006</v>
      </c>
      <c r="E17" s="21">
        <v>0</v>
      </c>
      <c r="F17" s="82">
        <f>MAX(D17-E17,0)</f>
        <v>0.59038920000000006</v>
      </c>
      <c r="G17" s="59">
        <f>Paramètres!D33</f>
        <v>1.2</v>
      </c>
      <c r="H17" s="59">
        <f>F17*G17*IF(C17="g",0.001,1)</f>
        <v>0.70846704000000005</v>
      </c>
      <c r="I17" s="41"/>
      <c r="J17" s="83" t="s">
        <v>162</v>
      </c>
    </row>
    <row r="18" spans="2:10" x14ac:dyDescent="0.3">
      <c r="B18" s="19" t="str">
        <f>Paramètres!B34</f>
        <v>poivre</v>
      </c>
      <c r="C18" s="19" t="str">
        <f>Paramètres!C34</f>
        <v>kg</v>
      </c>
      <c r="D18" s="26">
        <f>Production!N32</f>
        <v>9.8398200000000005E-2</v>
      </c>
      <c r="E18" s="25">
        <v>0</v>
      </c>
      <c r="F18" s="84">
        <f>MAX(D18-E18,0)</f>
        <v>9.8398200000000005E-2</v>
      </c>
      <c r="G18" s="61">
        <f>Paramètres!D34</f>
        <v>30</v>
      </c>
      <c r="H18" s="61">
        <f>F18*G18*IF(C18="g",0.001,1)</f>
        <v>2.951946</v>
      </c>
      <c r="I18" s="45"/>
      <c r="J18" s="85" t="s">
        <v>162</v>
      </c>
    </row>
    <row r="19" spans="2:10" x14ac:dyDescent="0.3">
      <c r="B19" s="16" t="str">
        <f>Paramètres!B35</f>
        <v>sucre</v>
      </c>
      <c r="C19" s="16" t="str">
        <f>Paramètres!C35</f>
        <v>kg</v>
      </c>
      <c r="D19" s="22">
        <f>Production!N33</f>
        <v>0.20546800000000004</v>
      </c>
      <c r="E19" s="21">
        <v>0</v>
      </c>
      <c r="F19" s="82">
        <f>MAX(D19-E19,0)</f>
        <v>0.20546800000000004</v>
      </c>
      <c r="G19" s="59">
        <f>Paramètres!D35</f>
        <v>2</v>
      </c>
      <c r="H19" s="59">
        <f>F19*G19*IF(C19="g",0.001,1)</f>
        <v>0.41093600000000008</v>
      </c>
      <c r="I19" s="41"/>
      <c r="J19" s="83" t="s">
        <v>162</v>
      </c>
    </row>
    <row r="20" spans="2:10" x14ac:dyDescent="0.3">
      <c r="B20" s="19" t="str">
        <f>Paramètres!B36</f>
        <v>4 épices</v>
      </c>
      <c r="C20" s="19" t="str">
        <f>Paramètres!C36</f>
        <v>g</v>
      </c>
      <c r="D20" s="26">
        <f>Production!N34</f>
        <v>14.759729999999999</v>
      </c>
      <c r="E20" s="25">
        <v>0</v>
      </c>
      <c r="F20" s="84">
        <f>MAX(D20-E20,0)</f>
        <v>14.759729999999999</v>
      </c>
      <c r="G20" s="61">
        <f>Paramètres!D36</f>
        <v>20</v>
      </c>
      <c r="H20" s="61">
        <f>F20*G20*IF(C20="g",0.001,1)</f>
        <v>0.29519459999999997</v>
      </c>
      <c r="I20" s="45"/>
      <c r="J20" s="85" t="s">
        <v>162</v>
      </c>
    </row>
    <row r="21" spans="2:10" x14ac:dyDescent="0.3">
      <c r="B21" s="16" t="str">
        <f>Paramètres!B37</f>
        <v>poivre vert</v>
      </c>
      <c r="C21" s="16" t="str">
        <f>Paramètres!C37</f>
        <v>g</v>
      </c>
      <c r="D21" s="22">
        <f>Production!N35</f>
        <v>34.75</v>
      </c>
      <c r="E21" s="21">
        <v>0</v>
      </c>
      <c r="F21" s="82">
        <f>MAX(D21-E21,0)</f>
        <v>34.75</v>
      </c>
      <c r="G21" s="59">
        <f>Paramètres!D37</f>
        <v>50</v>
      </c>
      <c r="H21" s="59">
        <f>F21*G21*IF(C21="g",0.001,1)</f>
        <v>1.7375</v>
      </c>
      <c r="I21" s="41"/>
      <c r="J21" s="83" t="s">
        <v>162</v>
      </c>
    </row>
    <row r="22" spans="2:10" x14ac:dyDescent="0.3">
      <c r="B22" s="19" t="str">
        <f>Paramètres!B38</f>
        <v>clous de girofle</v>
      </c>
      <c r="C22" s="19" t="str">
        <f>Paramètres!C38</f>
        <v>u</v>
      </c>
      <c r="D22" s="26">
        <f>Production!N36</f>
        <v>0</v>
      </c>
      <c r="E22" s="25">
        <v>0</v>
      </c>
      <c r="F22" s="84">
        <f>MAX(D22-E22,0)</f>
        <v>0</v>
      </c>
      <c r="G22" s="61">
        <f>Paramètres!D38</f>
        <v>20</v>
      </c>
      <c r="H22" s="61">
        <f>F22*G22*IF(C22="g",0.001,1)</f>
        <v>0</v>
      </c>
      <c r="I22" s="45"/>
      <c r="J22" s="85" t="s">
        <v>162</v>
      </c>
    </row>
    <row r="23" spans="2:10" x14ac:dyDescent="0.3">
      <c r="B23" s="16" t="str">
        <f>Paramètres!B39</f>
        <v>huile d'olive</v>
      </c>
      <c r="C23" s="16" t="str">
        <f>Paramètres!C39</f>
        <v>l</v>
      </c>
      <c r="D23" s="22">
        <f>Production!N37</f>
        <v>8.1054999999999988E-2</v>
      </c>
      <c r="E23" s="21">
        <v>0</v>
      </c>
      <c r="F23" s="82">
        <f>MAX(D23-E23,0)</f>
        <v>8.1054999999999988E-2</v>
      </c>
      <c r="G23" s="59">
        <f>Paramètres!D39</f>
        <v>8</v>
      </c>
      <c r="H23" s="59">
        <f>F23*G23*IF(C23="g",0.001,1)</f>
        <v>0.64843999999999991</v>
      </c>
      <c r="I23" s="41"/>
      <c r="J23" s="83" t="s">
        <v>162</v>
      </c>
    </row>
    <row r="24" spans="2:10" x14ac:dyDescent="0.3">
      <c r="B24" s="19" t="str">
        <f>Paramètres!B40</f>
        <v>vinaigre de vin</v>
      </c>
      <c r="C24" s="19" t="str">
        <f>Paramètres!C40</f>
        <v>l</v>
      </c>
      <c r="D24" s="26">
        <f>Production!N38</f>
        <v>0</v>
      </c>
      <c r="E24" s="25">
        <v>0</v>
      </c>
      <c r="F24" s="84">
        <f>MAX(D24-E24,0)</f>
        <v>0</v>
      </c>
      <c r="G24" s="61">
        <f>Paramètres!D40</f>
        <v>4</v>
      </c>
      <c r="H24" s="61">
        <f>F24*G24*IF(C24="g",0.001,1)</f>
        <v>0</v>
      </c>
      <c r="I24" s="45"/>
      <c r="J24" s="85" t="s">
        <v>162</v>
      </c>
    </row>
    <row r="25" spans="2:10" x14ac:dyDescent="0.3">
      <c r="B25" s="16" t="str">
        <f>Paramètres!B41</f>
        <v>cacao vanhouten</v>
      </c>
      <c r="C25" s="16" t="str">
        <f>Paramètres!C41</f>
        <v>CS</v>
      </c>
      <c r="D25" s="22">
        <f>Production!N39</f>
        <v>7.2580000000000009</v>
      </c>
      <c r="E25" s="21">
        <v>0</v>
      </c>
      <c r="F25" s="82">
        <f>MAX(D25-E25,0)</f>
        <v>7.2580000000000009</v>
      </c>
      <c r="G25" s="59">
        <f>Paramètres!D41</f>
        <v>0.02</v>
      </c>
      <c r="H25" s="59">
        <f>F25*G25*IF(C25="g",0.001,1)</f>
        <v>0.14516000000000001</v>
      </c>
      <c r="I25" s="41"/>
      <c r="J25" s="83" t="s">
        <v>162</v>
      </c>
    </row>
    <row r="26" spans="2:10" x14ac:dyDescent="0.3">
      <c r="B26" s="19" t="str">
        <f>Paramètres!B42</f>
        <v>carottes pour bocaux</v>
      </c>
      <c r="C26" s="19" t="str">
        <f>Paramètres!C42</f>
        <v>u</v>
      </c>
      <c r="D26" s="26">
        <f>Production!N40</f>
        <v>20.546800000000005</v>
      </c>
      <c r="E26" s="25">
        <v>0</v>
      </c>
      <c r="F26" s="84">
        <f>MAX(D26-E26,0)</f>
        <v>20.546800000000005</v>
      </c>
      <c r="G26" s="61">
        <f>Paramètres!D42</f>
        <v>0.3</v>
      </c>
      <c r="H26" s="61">
        <f>F26*G26*IF(C26="g",0.001,1)</f>
        <v>6.1640400000000009</v>
      </c>
      <c r="I26" s="45"/>
      <c r="J26" s="85" t="s">
        <v>162</v>
      </c>
    </row>
    <row r="27" spans="2:10" x14ac:dyDescent="0.3">
      <c r="B27" s="16" t="str">
        <f>Paramètres!B43</f>
        <v>carottes nouvelles</v>
      </c>
      <c r="C27" s="16" t="str">
        <f>Paramètres!C43</f>
        <v>kg</v>
      </c>
      <c r="D27" s="22">
        <f>Production!N41</f>
        <v>6.0791249999999994</v>
      </c>
      <c r="E27" s="21">
        <v>0</v>
      </c>
      <c r="F27" s="82">
        <f>MAX(D27-E27,0)</f>
        <v>6.0791249999999994</v>
      </c>
      <c r="G27" s="59">
        <f>Paramètres!D43</f>
        <v>3.5</v>
      </c>
      <c r="H27" s="59">
        <f>F27*G27*IF(C27="g",0.001,1)</f>
        <v>21.276937499999999</v>
      </c>
      <c r="I27" s="41"/>
      <c r="J27" s="83" t="s">
        <v>162</v>
      </c>
    </row>
    <row r="28" spans="2:10" x14ac:dyDescent="0.3">
      <c r="B28" s="19" t="str">
        <f>Paramètres!B44</f>
        <v>gingembre</v>
      </c>
      <c r="C28" s="19" t="str">
        <f>Paramètres!C44</f>
        <v>CC</v>
      </c>
      <c r="D28" s="26">
        <f>Production!N42</f>
        <v>0</v>
      </c>
      <c r="E28" s="25">
        <v>0</v>
      </c>
      <c r="F28" s="84">
        <f>MAX(D28-E28,0)</f>
        <v>0</v>
      </c>
      <c r="G28" s="61">
        <f>Paramètres!D44</f>
        <v>0</v>
      </c>
      <c r="H28" s="61">
        <f>F28*G28*IF(C28="g",0.001,1)</f>
        <v>0</v>
      </c>
      <c r="I28" s="45"/>
      <c r="J28" s="85" t="s">
        <v>162</v>
      </c>
    </row>
    <row r="29" spans="2:10" x14ac:dyDescent="0.3">
      <c r="B29" s="16" t="str">
        <f>Paramètres!B45</f>
        <v>baies genievre</v>
      </c>
      <c r="C29" s="16">
        <f>Paramètres!C45</f>
        <v>0</v>
      </c>
      <c r="D29" s="22">
        <f>Production!N43</f>
        <v>0</v>
      </c>
      <c r="E29" s="21">
        <v>0</v>
      </c>
      <c r="F29" s="82">
        <f>MAX(D29-E29,0)</f>
        <v>0</v>
      </c>
      <c r="G29" s="59">
        <f>Paramètres!D45</f>
        <v>0</v>
      </c>
      <c r="H29" s="59">
        <f>F29*G29*IF(C29="g",0.001,1)</f>
        <v>0</v>
      </c>
      <c r="I29" s="41"/>
      <c r="J29" s="83" t="s">
        <v>162</v>
      </c>
    </row>
    <row r="30" spans="2:10" x14ac:dyDescent="0.3">
      <c r="B30" s="19" t="str">
        <f>Paramètres!B46</f>
        <v>PISTACHES</v>
      </c>
      <c r="C30" s="19" t="str">
        <f>Paramètres!C46</f>
        <v>KG</v>
      </c>
      <c r="D30" s="26">
        <f>Production!N44</f>
        <v>0</v>
      </c>
      <c r="E30" s="25">
        <v>0</v>
      </c>
      <c r="F30" s="84">
        <f>MAX(D30-E30,0)</f>
        <v>0</v>
      </c>
      <c r="G30" s="61">
        <f>Paramètres!D46</f>
        <v>30</v>
      </c>
      <c r="H30" s="61">
        <f>F30*G30*IF(C30="g",0.001,1)</f>
        <v>0</v>
      </c>
      <c r="I30" s="45"/>
      <c r="J30" s="85" t="s">
        <v>162</v>
      </c>
    </row>
    <row r="31" spans="2:10" x14ac:dyDescent="0.3">
      <c r="B31" s="16" t="str">
        <f>Paramètres!B47</f>
        <v>celeri branche</v>
      </c>
      <c r="C31" s="16" t="str">
        <f>Paramètres!C47</f>
        <v>br</v>
      </c>
      <c r="D31" s="22">
        <f>Production!N45</f>
        <v>16.210999999999999</v>
      </c>
      <c r="E31" s="21">
        <v>0</v>
      </c>
      <c r="F31" s="82">
        <f>MAX(D31-E31,0)</f>
        <v>16.210999999999999</v>
      </c>
      <c r="G31" s="59">
        <f>Paramètres!D47</f>
        <v>0.5</v>
      </c>
      <c r="H31" s="59">
        <f>F31*G31*IF(C31="g",0.001,1)</f>
        <v>8.1054999999999993</v>
      </c>
      <c r="I31" s="41"/>
      <c r="J31" s="83" t="s">
        <v>162</v>
      </c>
    </row>
    <row r="32" spans="2:10" x14ac:dyDescent="0.3">
      <c r="B32" s="19" t="str">
        <f>Paramètres!B48</f>
        <v>champignons</v>
      </c>
      <c r="C32" s="19" t="str">
        <f>Paramètres!C48</f>
        <v>kg</v>
      </c>
      <c r="D32" s="26">
        <f>Production!N46</f>
        <v>0</v>
      </c>
      <c r="E32" s="25">
        <v>0</v>
      </c>
      <c r="F32" s="84">
        <f>MAX(D32-E32,0)</f>
        <v>0</v>
      </c>
      <c r="G32" s="61">
        <f>Paramètres!D48</f>
        <v>3</v>
      </c>
      <c r="H32" s="61">
        <f>F32*G32*IF(C32="g",0.001,1)</f>
        <v>0</v>
      </c>
      <c r="I32" s="45"/>
      <c r="J32" s="85" t="s">
        <v>162</v>
      </c>
    </row>
    <row r="33" spans="2:10" x14ac:dyDescent="0.3">
      <c r="B33" s="16" t="str">
        <f>Paramètres!B49</f>
        <v>tomates</v>
      </c>
      <c r="C33" s="16" t="str">
        <f>Paramètres!C49</f>
        <v>kg</v>
      </c>
      <c r="D33" s="22">
        <f>Production!N47</f>
        <v>0</v>
      </c>
      <c r="E33" s="21">
        <v>0</v>
      </c>
      <c r="F33" s="82">
        <f>MAX(D33-E33,0)</f>
        <v>0</v>
      </c>
      <c r="G33" s="59">
        <f>Paramètres!D49</f>
        <v>4.5</v>
      </c>
      <c r="H33" s="59">
        <f>F33*G33*IF(C33="g",0.001,1)</f>
        <v>0</v>
      </c>
      <c r="I33" s="41"/>
      <c r="J33" s="83" t="s">
        <v>162</v>
      </c>
    </row>
    <row r="34" spans="2:10" x14ac:dyDescent="0.3">
      <c r="B34" s="19" t="str">
        <f>Paramètres!B50</f>
        <v>olives noires niçoises</v>
      </c>
      <c r="C34" s="19" t="str">
        <f>Paramètres!C50</f>
        <v>kg</v>
      </c>
      <c r="D34" s="26">
        <f>Production!N48</f>
        <v>0</v>
      </c>
      <c r="E34" s="25">
        <v>0</v>
      </c>
      <c r="F34" s="84">
        <f>MAX(D34-E34,0)</f>
        <v>0</v>
      </c>
      <c r="G34" s="61">
        <f>Paramètres!D50</f>
        <v>20</v>
      </c>
      <c r="H34" s="61">
        <f>F34*G34*IF(C34="g",0.001,1)</f>
        <v>0</v>
      </c>
      <c r="I34" s="45"/>
      <c r="J34" s="85" t="s">
        <v>162</v>
      </c>
    </row>
    <row r="35" spans="2:10" x14ac:dyDescent="0.3">
      <c r="B35" s="16" t="str">
        <f>Paramètres!B51</f>
        <v>persil</v>
      </c>
      <c r="C35" s="16" t="str">
        <f>Paramètres!C51</f>
        <v>kg</v>
      </c>
      <c r="D35" s="22">
        <f>Production!N49</f>
        <v>0</v>
      </c>
      <c r="E35" s="21">
        <v>0</v>
      </c>
      <c r="F35" s="82">
        <f>MAX(D35-E35,0)</f>
        <v>0</v>
      </c>
      <c r="G35" s="59">
        <f>Paramètres!D51</f>
        <v>3</v>
      </c>
      <c r="H35" s="59">
        <f>F35*G35*IF(C35="g",0.001,1)</f>
        <v>0</v>
      </c>
      <c r="I35" s="41"/>
      <c r="J35" s="83" t="s">
        <v>162</v>
      </c>
    </row>
    <row r="36" spans="2:10" x14ac:dyDescent="0.3">
      <c r="B36" s="19" t="str">
        <f>Paramètres!B52</f>
        <v>oranges bio</v>
      </c>
      <c r="C36" s="19" t="str">
        <f>Paramètres!C52</f>
        <v>u</v>
      </c>
      <c r="D36" s="26">
        <f>Production!N50</f>
        <v>0</v>
      </c>
      <c r="E36" s="25">
        <v>0</v>
      </c>
      <c r="F36" s="84">
        <f>MAX(D36-E36,0)</f>
        <v>0</v>
      </c>
      <c r="G36" s="61">
        <f>Paramètres!D52</f>
        <v>0.3</v>
      </c>
      <c r="H36" s="61">
        <f>F36*G36*IF(C36="g",0.001,1)</f>
        <v>0</v>
      </c>
      <c r="I36" s="45"/>
      <c r="J36" s="85" t="s">
        <v>162</v>
      </c>
    </row>
    <row r="37" spans="2:10" x14ac:dyDescent="0.3">
      <c r="B37" s="16" t="str">
        <f>Paramètres!B53</f>
        <v>citrons bio</v>
      </c>
      <c r="C37" s="16" t="str">
        <f>Paramètres!C53</f>
        <v>u</v>
      </c>
      <c r="D37" s="22">
        <f>Production!N51</f>
        <v>0</v>
      </c>
      <c r="E37" s="21">
        <v>0</v>
      </c>
      <c r="F37" s="82">
        <f>MAX(D37-E37,0)</f>
        <v>0</v>
      </c>
      <c r="G37" s="59">
        <f>Paramètres!D53</f>
        <v>0.5</v>
      </c>
      <c r="H37" s="59">
        <f>F37*G37*IF(C37="g",0.001,1)</f>
        <v>0</v>
      </c>
      <c r="I37" s="41"/>
      <c r="J37" s="83" t="s">
        <v>162</v>
      </c>
    </row>
    <row r="38" spans="2:10" x14ac:dyDescent="0.3">
      <c r="B38" s="19" t="str">
        <f>Paramètres!B54</f>
        <v>échalottes</v>
      </c>
      <c r="C38" s="19" t="str">
        <f>Paramètres!C54</f>
        <v>u</v>
      </c>
      <c r="D38" s="26">
        <f>Production!N52</f>
        <v>0</v>
      </c>
      <c r="E38" s="25">
        <v>0</v>
      </c>
      <c r="F38" s="84">
        <f>MAX(D38-E38,0)</f>
        <v>0</v>
      </c>
      <c r="G38" s="61">
        <f>Paramètres!D54</f>
        <v>0.15</v>
      </c>
      <c r="H38" s="61">
        <f>F38*G38*IF(C38="g",0.001,1)</f>
        <v>0</v>
      </c>
      <c r="I38" s="45"/>
      <c r="J38" s="85" t="s">
        <v>162</v>
      </c>
    </row>
    <row r="39" spans="2:10" x14ac:dyDescent="0.3">
      <c r="B39" s="16" t="str">
        <f>Paramètres!B55</f>
        <v>ail frais</v>
      </c>
      <c r="C39" s="16" t="str">
        <f>Paramètres!C55</f>
        <v>gs</v>
      </c>
      <c r="D39" s="22">
        <f>Production!N53</f>
        <v>0</v>
      </c>
      <c r="E39" s="21">
        <v>0</v>
      </c>
      <c r="F39" s="82">
        <f>MAX(D39-E39,0)</f>
        <v>0</v>
      </c>
      <c r="G39" s="59">
        <f>Paramètres!D55</f>
        <v>1</v>
      </c>
      <c r="H39" s="59">
        <f>F39*G39*IF(C39="g",0.001,1)</f>
        <v>0</v>
      </c>
      <c r="I39" s="41"/>
      <c r="J39" s="83" t="s">
        <v>162</v>
      </c>
    </row>
    <row r="40" spans="2:10" x14ac:dyDescent="0.3">
      <c r="B40" s="19" t="str">
        <f>Paramètres!B56</f>
        <v>oignons</v>
      </c>
      <c r="C40" s="19" t="str">
        <f>Paramètres!C56</f>
        <v>kg</v>
      </c>
      <c r="D40" s="26">
        <f>Production!N54</f>
        <v>1.2158249999999999</v>
      </c>
      <c r="E40" s="25">
        <v>0</v>
      </c>
      <c r="F40" s="84">
        <f>MAX(D40-E40,0)</f>
        <v>1.2158249999999999</v>
      </c>
      <c r="G40" s="61">
        <f>Paramètres!D56</f>
        <v>0.2</v>
      </c>
      <c r="H40" s="61">
        <f>F40*G40*IF(C40="g",0.001,1)</f>
        <v>0.24316499999999999</v>
      </c>
      <c r="I40" s="45"/>
      <c r="J40" s="85" t="s">
        <v>162</v>
      </c>
    </row>
    <row r="41" spans="2:10" x14ac:dyDescent="0.3">
      <c r="B41" s="16" t="str">
        <f>Paramètres!B57</f>
        <v>oignons nouveaux</v>
      </c>
      <c r="C41" s="16" t="str">
        <f>Paramètres!C57</f>
        <v>kg</v>
      </c>
      <c r="D41" s="22">
        <f>Production!N55</f>
        <v>0</v>
      </c>
      <c r="E41" s="21">
        <v>0</v>
      </c>
      <c r="F41" s="82">
        <f>MAX(D41-E41,0)</f>
        <v>0</v>
      </c>
      <c r="G41" s="59">
        <f>Paramètres!D57</f>
        <v>5</v>
      </c>
      <c r="H41" s="59">
        <f>F41*G41*IF(C41="g",0.001,1)</f>
        <v>0</v>
      </c>
      <c r="I41" s="41"/>
      <c r="J41" s="83" t="s">
        <v>162</v>
      </c>
    </row>
    <row r="42" spans="2:10" x14ac:dyDescent="0.3">
      <c r="B42" s="19" t="str">
        <f>Paramètres!B58</f>
        <v>thym</v>
      </c>
      <c r="C42" s="19" t="str">
        <f>Paramètres!C58</f>
        <v>br</v>
      </c>
      <c r="D42" s="26">
        <f>Production!N56</f>
        <v>221.67900000000003</v>
      </c>
      <c r="E42" s="25">
        <v>0</v>
      </c>
      <c r="F42" s="84">
        <f>MAX(D42-E42,0)</f>
        <v>221.67900000000003</v>
      </c>
      <c r="G42" s="61">
        <f>Paramètres!D58</f>
        <v>0</v>
      </c>
      <c r="H42" s="61">
        <f>F42*G42*IF(C42="g",0.001,1)</f>
        <v>0</v>
      </c>
      <c r="I42" s="45"/>
      <c r="J42" s="85" t="s">
        <v>162</v>
      </c>
    </row>
    <row r="43" spans="2:10" x14ac:dyDescent="0.3">
      <c r="B43" s="16" t="str">
        <f>Paramètres!B59</f>
        <v>laurier</v>
      </c>
      <c r="C43" s="16" t="str">
        <f>Paramètres!C59</f>
        <v>fl</v>
      </c>
      <c r="D43" s="22">
        <f>Production!N57</f>
        <v>49.199100000000008</v>
      </c>
      <c r="E43" s="21">
        <v>0</v>
      </c>
      <c r="F43" s="82">
        <f>MAX(D43-E43,0)</f>
        <v>49.199100000000008</v>
      </c>
      <c r="G43" s="59">
        <f>Paramètres!D59</f>
        <v>0</v>
      </c>
      <c r="H43" s="59">
        <f>F43*G43*IF(C43="g",0.001,1)</f>
        <v>0</v>
      </c>
      <c r="I43" s="41"/>
      <c r="J43" s="83" t="s">
        <v>162</v>
      </c>
    </row>
    <row r="44" spans="2:10" x14ac:dyDescent="0.3">
      <c r="B44" s="19" t="str">
        <f>Paramètres!B60</f>
        <v>vin blanc chenin</v>
      </c>
      <c r="C44" s="19" t="str">
        <f>Paramètres!C60</f>
        <v>l</v>
      </c>
      <c r="D44" s="26">
        <f>Production!N58</f>
        <v>2.3393360000000003</v>
      </c>
      <c r="E44" s="25">
        <v>0</v>
      </c>
      <c r="F44" s="84">
        <f>MAX(D44-E44,0)</f>
        <v>2.3393360000000003</v>
      </c>
      <c r="G44" s="61">
        <f>Paramètres!D60</f>
        <v>10</v>
      </c>
      <c r="H44" s="61">
        <f>F44*G44*IF(C44="g",0.001,1)</f>
        <v>23.393360000000001</v>
      </c>
      <c r="I44" s="45"/>
      <c r="J44" s="85" t="s">
        <v>162</v>
      </c>
    </row>
    <row r="45" spans="2:10" x14ac:dyDescent="0.3">
      <c r="B45" s="16" t="str">
        <f>Paramètres!B61</f>
        <v>vin rouge languedoc</v>
      </c>
      <c r="C45" s="16" t="str">
        <f>Paramètres!C61</f>
        <v>l</v>
      </c>
      <c r="D45" s="22">
        <f>Production!N59</f>
        <v>4.9692959999999999</v>
      </c>
      <c r="E45" s="21">
        <v>0</v>
      </c>
      <c r="F45" s="82">
        <f>MAX(D45-E45,0)</f>
        <v>4.9692959999999999</v>
      </c>
      <c r="G45" s="59">
        <f>Paramètres!D61</f>
        <v>10</v>
      </c>
      <c r="H45" s="59">
        <f>F45*G45*IF(C45="g",0.001,1)</f>
        <v>49.692959999999999</v>
      </c>
      <c r="I45" s="41"/>
      <c r="J45" s="83" t="s">
        <v>162</v>
      </c>
    </row>
    <row r="46" spans="2:10" x14ac:dyDescent="0.3">
      <c r="B46" s="19" t="str">
        <f>Paramètres!B62</f>
        <v>cognac/armagnac</v>
      </c>
      <c r="C46" s="19" t="str">
        <f>Paramètres!C62</f>
        <v>l</v>
      </c>
      <c r="D46" s="26">
        <f>Production!N60</f>
        <v>1.2618340000000001</v>
      </c>
      <c r="E46" s="25">
        <v>0</v>
      </c>
      <c r="F46" s="84">
        <f>MAX(D46-E46,0)</f>
        <v>1.2618340000000001</v>
      </c>
      <c r="G46" s="61">
        <f>Paramètres!D62</f>
        <v>35</v>
      </c>
      <c r="H46" s="61">
        <f>F46*G46*IF(C46="g",0.001,1)</f>
        <v>44.164190000000005</v>
      </c>
      <c r="I46" s="45"/>
      <c r="J46" s="85" t="s">
        <v>162</v>
      </c>
    </row>
    <row r="47" spans="2:10" x14ac:dyDescent="0.3">
      <c r="B47" s="16" t="str">
        <f>Paramètres!B63</f>
        <v>alcool blanc de fruit</v>
      </c>
      <c r="C47" s="16" t="str">
        <f>Paramètres!C63</f>
        <v>l</v>
      </c>
      <c r="D47" s="22">
        <f>Production!N61</f>
        <v>0.411084</v>
      </c>
      <c r="E47" s="21">
        <v>0</v>
      </c>
      <c r="F47" s="82">
        <f>MAX(D47-E47,0)</f>
        <v>0.411084</v>
      </c>
      <c r="G47" s="59">
        <f>Paramètres!D63</f>
        <v>45</v>
      </c>
      <c r="H47" s="59">
        <f>F47*G47*IF(C47="g",0.001,1)</f>
        <v>18.49878</v>
      </c>
      <c r="I47" s="41"/>
      <c r="J47" s="83" t="s">
        <v>162</v>
      </c>
    </row>
    <row r="48" spans="2:10" x14ac:dyDescent="0.3">
      <c r="B48" s="19" t="str">
        <f>Paramètres!B64</f>
        <v>porto</v>
      </c>
      <c r="C48" s="19" t="str">
        <f>Paramètres!C64</f>
        <v>l</v>
      </c>
      <c r="D48" s="26">
        <f>Production!N62</f>
        <v>0.65322000000000002</v>
      </c>
      <c r="E48" s="25">
        <v>0</v>
      </c>
      <c r="F48" s="84">
        <f>MAX(D48-E48,0)</f>
        <v>0.65322000000000002</v>
      </c>
      <c r="G48" s="61">
        <f>Paramètres!D64</f>
        <v>25</v>
      </c>
      <c r="H48" s="61">
        <f>F48*G48*IF(C48="g",0.001,1)</f>
        <v>16.330500000000001</v>
      </c>
      <c r="I48" s="45"/>
      <c r="J48" s="85" t="s">
        <v>162</v>
      </c>
    </row>
    <row r="49" spans="2:8" x14ac:dyDescent="0.3">
      <c r="B49" s="86" t="s">
        <v>157</v>
      </c>
      <c r="C49" s="86"/>
      <c r="D49" s="86"/>
      <c r="E49" s="86"/>
      <c r="F49" s="86"/>
      <c r="G49" s="87"/>
      <c r="H49" s="87">
        <f>SUM(H7:H48)</f>
        <v>345.77200414000004</v>
      </c>
    </row>
    <row r="51" spans="2:8" x14ac:dyDescent="0.3">
      <c r="B51" s="32" t="s">
        <v>158</v>
      </c>
    </row>
    <row r="52" spans="2:8" x14ac:dyDescent="0.3">
      <c r="B52" s="88" t="s">
        <v>159</v>
      </c>
      <c r="C52" s="89" t="s">
        <v>152</v>
      </c>
      <c r="D52" s="89" t="s">
        <v>160</v>
      </c>
      <c r="E52" s="89" t="s">
        <v>153</v>
      </c>
    </row>
    <row r="53" spans="2:8" x14ac:dyDescent="0.3">
      <c r="B53" s="16" t="s">
        <v>140</v>
      </c>
      <c r="C53" s="41">
        <v>5</v>
      </c>
      <c r="D53" s="16">
        <f>Production!C78</f>
        <v>0</v>
      </c>
      <c r="E53" s="90">
        <f>MAX(D53-C53,0)</f>
        <v>0</v>
      </c>
    </row>
    <row r="54" spans="2:8" x14ac:dyDescent="0.3">
      <c r="B54" s="19" t="s">
        <v>141</v>
      </c>
      <c r="C54" s="45">
        <v>54</v>
      </c>
      <c r="D54" s="19">
        <f>Production!D78</f>
        <v>0</v>
      </c>
      <c r="E54" s="91">
        <f>MAX(D54-C54,0)</f>
        <v>0</v>
      </c>
    </row>
    <row r="55" spans="2:8" x14ac:dyDescent="0.3">
      <c r="B55" s="16" t="s">
        <v>142</v>
      </c>
      <c r="C55" s="41">
        <v>118</v>
      </c>
      <c r="D55" s="16">
        <f>Production!E78</f>
        <v>0</v>
      </c>
      <c r="E55" s="90">
        <f>MAX(D55-C55,0)</f>
        <v>0</v>
      </c>
    </row>
    <row r="56" spans="2:8" x14ac:dyDescent="0.3">
      <c r="B56" s="19" t="s">
        <v>143</v>
      </c>
      <c r="C56" s="45">
        <v>21</v>
      </c>
      <c r="D56" s="19">
        <f>Production!F78</f>
        <v>0</v>
      </c>
      <c r="E56" s="91">
        <f>MAX(D56-C56,0)</f>
        <v>0</v>
      </c>
    </row>
    <row r="57" spans="2:8" x14ac:dyDescent="0.3">
      <c r="B57" s="16" t="s">
        <v>144</v>
      </c>
      <c r="C57" s="41">
        <v>13</v>
      </c>
      <c r="D57" s="16">
        <f>Production!G78</f>
        <v>0</v>
      </c>
      <c r="E57" s="90">
        <f>MAX(D57-C57,0)</f>
        <v>0</v>
      </c>
    </row>
  </sheetData>
  <conditionalFormatting sqref="J7:J48">
    <cfRule type="containsText" dxfId="0" priority="1" operator="containsText" text="Acheté">
      <formula>NOT(ISERROR(SEARCH("Acheté",J7)))</formula>
    </cfRule>
  </conditionalFormatting>
  <dataValidations count="1">
    <dataValidation type="list" allowBlank="1" showInputMessage="1" showErrorMessage="1" sqref="J7:J48" xr:uid="{7B01992B-F6C8-40AD-A35E-BD2CD685B430}">
      <formula1>"À faire,Acheté"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D4AB-8C25-49A0-A385-9AF3DA73F5CA}">
  <sheetPr>
    <tabColor rgb="FF5B6E3A"/>
  </sheetPr>
  <dimension ref="A2:G48"/>
  <sheetViews>
    <sheetView showGridLines="0" workbookViewId="0">
      <selection activeCell="C37" sqref="C37"/>
    </sheetView>
  </sheetViews>
  <sheetFormatPr baseColWidth="10" defaultRowHeight="14.4" x14ac:dyDescent="0.3"/>
  <cols>
    <col min="1" max="1" width="11.5546875" style="9"/>
    <col min="2" max="2" width="45.109375" style="9" bestFit="1" customWidth="1"/>
    <col min="3" max="3" width="35.77734375" style="9" bestFit="1" customWidth="1"/>
    <col min="4" max="4" width="22.21875" style="9" customWidth="1"/>
    <col min="5" max="7" width="11.5546875" style="9"/>
  </cols>
  <sheetData>
    <row r="2" spans="2:3" ht="21" x14ac:dyDescent="0.3">
      <c r="B2" s="11" t="s">
        <v>163</v>
      </c>
    </row>
    <row r="3" spans="2:3" x14ac:dyDescent="0.3">
      <c r="B3" s="14" t="s">
        <v>210</v>
      </c>
    </row>
    <row r="4" spans="2:3" x14ac:dyDescent="0.3">
      <c r="B4" s="32" t="s">
        <v>164</v>
      </c>
    </row>
    <row r="5" spans="2:3" x14ac:dyDescent="0.3">
      <c r="B5" s="33" t="s">
        <v>165</v>
      </c>
      <c r="C5" s="92">
        <f>SUMPRODUCT(Production!N9:N62,Paramètres!D11:D64,Production!O9:O62)</f>
        <v>345.77200414000004</v>
      </c>
    </row>
    <row r="6" spans="2:3" x14ac:dyDescent="0.3">
      <c r="B6" s="33" t="s">
        <v>83</v>
      </c>
      <c r="C6" s="9">
        <f>Paramètres!C7</f>
        <v>7</v>
      </c>
    </row>
    <row r="7" spans="2:3" x14ac:dyDescent="0.3">
      <c r="B7" s="33" t="s">
        <v>166</v>
      </c>
      <c r="C7" s="93">
        <f>IFERROR(C5/C6,0)</f>
        <v>49.396000591428574</v>
      </c>
    </row>
    <row r="9" spans="2:3" x14ac:dyDescent="0.3">
      <c r="B9" s="32" t="s">
        <v>167</v>
      </c>
    </row>
    <row r="10" spans="2:3" x14ac:dyDescent="0.3">
      <c r="B10" s="57" t="s">
        <v>139</v>
      </c>
      <c r="C10" s="57" t="s">
        <v>155</v>
      </c>
    </row>
    <row r="11" spans="2:3" x14ac:dyDescent="0.3">
      <c r="B11" s="16" t="s">
        <v>120</v>
      </c>
      <c r="C11" s="59">
        <f>SUMPRODUCT(Production!D9:D62,Paramètres!$D$11:$D$64,Production!$O$9:$O$62)</f>
        <v>26.130737920000005</v>
      </c>
    </row>
    <row r="12" spans="2:3" x14ac:dyDescent="0.3">
      <c r="B12" s="19" t="s">
        <v>121</v>
      </c>
      <c r="C12" s="61">
        <f>SUMPRODUCT(Production!E9:E62,Paramètres!$D$11:$D$64,Production!$O$9:$O$62)</f>
        <v>73.2390264</v>
      </c>
    </row>
    <row r="13" spans="2:3" x14ac:dyDescent="0.3">
      <c r="B13" s="16" t="s">
        <v>122</v>
      </c>
      <c r="C13" s="59">
        <f>SUMPRODUCT(Production!F9:F62,Paramètres!$D$11:$D$64,Production!$O$9:$O$62)</f>
        <v>0</v>
      </c>
    </row>
    <row r="14" spans="2:3" x14ac:dyDescent="0.3">
      <c r="B14" s="19" t="s">
        <v>123</v>
      </c>
      <c r="C14" s="61">
        <f>SUMPRODUCT(Production!G9:G62,Paramètres!$D$11:$D$64,Production!$O$9:$O$62)</f>
        <v>101.81728511999999</v>
      </c>
    </row>
    <row r="15" spans="2:3" x14ac:dyDescent="0.3">
      <c r="B15" s="16" t="s">
        <v>124</v>
      </c>
      <c r="C15" s="59">
        <f>SUMPRODUCT(Production!H9:H62,Paramètres!$D$11:$D$64,Production!$O$9:$O$62)</f>
        <v>0</v>
      </c>
    </row>
    <row r="16" spans="2:3" x14ac:dyDescent="0.3">
      <c r="B16" s="19" t="s">
        <v>125</v>
      </c>
      <c r="C16" s="61">
        <f>SUMPRODUCT(Production!I9:I62,Paramètres!$D$11:$D$64,Production!$O$9:$O$62)</f>
        <v>49.625780000000006</v>
      </c>
    </row>
    <row r="17" spans="2:4" x14ac:dyDescent="0.3">
      <c r="B17" s="16" t="s">
        <v>126</v>
      </c>
      <c r="C17" s="59">
        <f>SUMPRODUCT(Production!J9:J62,Paramètres!$D$11:$D$64,Production!$O$9:$O$62)</f>
        <v>0</v>
      </c>
    </row>
    <row r="18" spans="2:4" x14ac:dyDescent="0.3">
      <c r="B18" s="19" t="s">
        <v>127</v>
      </c>
      <c r="C18" s="61">
        <f>SUMPRODUCT(Production!K9:K62,Paramètres!$D$11:$D$64,Production!$O$9:$O$62)</f>
        <v>0</v>
      </c>
    </row>
    <row r="19" spans="2:4" x14ac:dyDescent="0.3">
      <c r="B19" s="16" t="s">
        <v>128</v>
      </c>
      <c r="C19" s="59">
        <f>SUMPRODUCT(Production!L9:L62,Paramètres!$D$11:$D$64,Production!$O$9:$O$62)</f>
        <v>0</v>
      </c>
    </row>
    <row r="20" spans="2:4" x14ac:dyDescent="0.3">
      <c r="B20" s="19" t="s">
        <v>129</v>
      </c>
      <c r="C20" s="61">
        <f>SUMPRODUCT(Production!M9:M62,Paramètres!$D$11:$D$64,Production!$O$9:$O$62)</f>
        <v>94.959174699999991</v>
      </c>
    </row>
    <row r="21" spans="2:4" x14ac:dyDescent="0.3">
      <c r="B21" s="29" t="s">
        <v>5</v>
      </c>
      <c r="C21" s="63">
        <f>SUM(C11:C20)</f>
        <v>345.77200414000004</v>
      </c>
    </row>
    <row r="24" spans="2:4" x14ac:dyDescent="0.3">
      <c r="B24" s="32" t="s">
        <v>168</v>
      </c>
    </row>
    <row r="25" spans="2:4" x14ac:dyDescent="0.3">
      <c r="B25" s="57" t="s">
        <v>169</v>
      </c>
      <c r="C25" s="57" t="s">
        <v>170</v>
      </c>
      <c r="D25" s="57" t="s">
        <v>171</v>
      </c>
    </row>
    <row r="26" spans="2:4" x14ac:dyDescent="0.3">
      <c r="B26" s="16" t="s">
        <v>2</v>
      </c>
      <c r="C26" s="16" t="s">
        <v>172</v>
      </c>
      <c r="D26" s="39">
        <v>182.28</v>
      </c>
    </row>
    <row r="27" spans="2:4" x14ac:dyDescent="0.3">
      <c r="B27" s="19" t="s">
        <v>0</v>
      </c>
      <c r="C27" s="19" t="s">
        <v>173</v>
      </c>
      <c r="D27" s="43">
        <v>34.24</v>
      </c>
    </row>
    <row r="28" spans="2:4" x14ac:dyDescent="0.3">
      <c r="B28" s="16" t="s">
        <v>70</v>
      </c>
      <c r="C28" s="16" t="s">
        <v>174</v>
      </c>
      <c r="D28" s="39">
        <v>10</v>
      </c>
    </row>
    <row r="29" spans="2:4" x14ac:dyDescent="0.3">
      <c r="B29" s="19" t="s">
        <v>71</v>
      </c>
      <c r="C29" s="19" t="s">
        <v>175</v>
      </c>
      <c r="D29" s="43">
        <v>17.079999999999998</v>
      </c>
    </row>
    <row r="30" spans="2:4" x14ac:dyDescent="0.3">
      <c r="B30" s="16" t="s">
        <v>71</v>
      </c>
      <c r="C30" s="16" t="s">
        <v>176</v>
      </c>
      <c r="D30" s="39">
        <v>103.22</v>
      </c>
    </row>
    <row r="31" spans="2:4" x14ac:dyDescent="0.3">
      <c r="B31" s="19" t="s">
        <v>71</v>
      </c>
      <c r="C31" s="19" t="s">
        <v>177</v>
      </c>
      <c r="D31" s="43">
        <v>42.73</v>
      </c>
    </row>
    <row r="32" spans="2:4" x14ac:dyDescent="0.3">
      <c r="B32" s="16" t="s">
        <v>71</v>
      </c>
      <c r="C32" s="16" t="s">
        <v>178</v>
      </c>
      <c r="D32" s="39">
        <v>140.19</v>
      </c>
    </row>
    <row r="33" spans="2:4" x14ac:dyDescent="0.3">
      <c r="B33" s="19"/>
      <c r="C33" s="19"/>
      <c r="D33" s="43"/>
    </row>
    <row r="34" spans="2:4" x14ac:dyDescent="0.3">
      <c r="B34" s="16"/>
      <c r="C34" s="16"/>
      <c r="D34" s="39"/>
    </row>
    <row r="35" spans="2:4" x14ac:dyDescent="0.3">
      <c r="B35" s="19"/>
      <c r="C35" s="19"/>
      <c r="D35" s="43"/>
    </row>
    <row r="36" spans="2:4" x14ac:dyDescent="0.3">
      <c r="B36" s="16"/>
      <c r="C36" s="16"/>
      <c r="D36" s="39"/>
    </row>
    <row r="37" spans="2:4" x14ac:dyDescent="0.3">
      <c r="B37" s="19"/>
      <c r="C37" s="19"/>
      <c r="D37" s="43"/>
    </row>
    <row r="38" spans="2:4" x14ac:dyDescent="0.3">
      <c r="B38" s="29" t="s">
        <v>179</v>
      </c>
      <c r="C38" s="29"/>
      <c r="D38" s="63">
        <f>SUM(D26:D37)</f>
        <v>529.74</v>
      </c>
    </row>
    <row r="39" spans="2:4" x14ac:dyDescent="0.3">
      <c r="B39" s="90" t="s">
        <v>180</v>
      </c>
      <c r="C39" s="16"/>
      <c r="D39" s="94">
        <f>IFERROR(D38/Paramètres!C7,0)</f>
        <v>75.677142857142854</v>
      </c>
    </row>
    <row r="41" spans="2:4" x14ac:dyDescent="0.3">
      <c r="B41" s="32" t="s">
        <v>181</v>
      </c>
    </row>
    <row r="42" spans="2:4" x14ac:dyDescent="0.3">
      <c r="B42" s="57" t="s">
        <v>169</v>
      </c>
      <c r="C42" s="57" t="s">
        <v>171</v>
      </c>
      <c r="D42" s="57" t="s">
        <v>182</v>
      </c>
    </row>
    <row r="43" spans="2:4" x14ac:dyDescent="0.3">
      <c r="B43" s="16" t="s">
        <v>63</v>
      </c>
      <c r="C43" s="39">
        <v>75.680000000000007</v>
      </c>
      <c r="D43" s="16" t="s">
        <v>2</v>
      </c>
    </row>
    <row r="44" spans="2:4" x14ac:dyDescent="0.3">
      <c r="B44" s="19" t="s">
        <v>183</v>
      </c>
      <c r="C44" s="43">
        <v>75.680000000000007</v>
      </c>
      <c r="D44" s="19" t="s">
        <v>71</v>
      </c>
    </row>
    <row r="45" spans="2:4" x14ac:dyDescent="0.3">
      <c r="B45" s="16" t="s">
        <v>105</v>
      </c>
      <c r="C45" s="39">
        <v>75.680000000000007</v>
      </c>
      <c r="D45" s="16" t="s">
        <v>71</v>
      </c>
    </row>
    <row r="46" spans="2:4" x14ac:dyDescent="0.3">
      <c r="B46" s="19" t="s">
        <v>1</v>
      </c>
      <c r="C46" s="43">
        <v>75.680000000000007</v>
      </c>
      <c r="D46" s="19" t="s">
        <v>71</v>
      </c>
    </row>
    <row r="47" spans="2:4" x14ac:dyDescent="0.3">
      <c r="B47" s="16" t="s">
        <v>0</v>
      </c>
      <c r="C47" s="39">
        <v>30.92</v>
      </c>
      <c r="D47" s="16" t="s">
        <v>2</v>
      </c>
    </row>
    <row r="48" spans="2:4" x14ac:dyDescent="0.3">
      <c r="B48" s="19" t="s">
        <v>184</v>
      </c>
      <c r="C48" s="43">
        <v>10</v>
      </c>
      <c r="D48" s="19" t="s">
        <v>70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Paramètres</vt:lpstr>
      <vt:lpstr>Stocks Gibier</vt:lpstr>
      <vt:lpstr>Recettes</vt:lpstr>
      <vt:lpstr>Production</vt:lpstr>
      <vt:lpstr>Liste de courses</vt:lpstr>
      <vt:lpstr>Budget &amp; Comptes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2026-06-12T09:38:45Z</dcterms:modified>
</cp:coreProperties>
</file>